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OFPPT\AP\2025-2026\"/>
    </mc:Choice>
  </mc:AlternateContent>
  <xr:revisionPtr revIDLastSave="0" documentId="13_ncr:1_{BE4F8C2E-76A6-4482-80B4-BD20386A6A47}" xr6:coauthVersionLast="47" xr6:coauthVersionMax="47" xr10:uidLastSave="{00000000-0000-0000-0000-000000000000}"/>
  <bookViews>
    <workbookView xWindow="-120" yWindow="-120" windowWidth="29040" windowHeight="16440" tabRatio="517" xr2:uid="{00000000-000D-0000-FFFF-FFFF00000000}"/>
  </bookViews>
  <sheets>
    <sheet name="25-26" sheetId="3" r:id="rId1"/>
  </sheets>
  <definedNames>
    <definedName name="_xlnm._FilterDatabase" localSheetId="0" hidden="1">'25-26'!$A$3:$KA$20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Y7" i="3" l="1"/>
  <c r="JY8" i="3"/>
  <c r="JY9" i="3"/>
  <c r="JY10" i="3"/>
  <c r="JY11" i="3"/>
  <c r="JY12" i="3"/>
  <c r="JY13" i="3"/>
  <c r="JY14" i="3"/>
  <c r="JY15" i="3"/>
  <c r="JY16" i="3"/>
  <c r="JY17" i="3"/>
  <c r="JY18" i="3"/>
  <c r="JY19" i="3"/>
  <c r="JY20" i="3"/>
  <c r="JY6" i="3"/>
  <c r="JT6" i="3" l="1"/>
  <c r="JV20" i="3" l="1"/>
  <c r="JU20" i="3"/>
  <c r="JT20" i="3"/>
  <c r="JW20" i="3" s="1"/>
  <c r="JV19" i="3"/>
  <c r="JU19" i="3"/>
  <c r="JT19" i="3"/>
  <c r="JW19" i="3" s="1"/>
  <c r="JV18" i="3"/>
  <c r="JU18" i="3"/>
  <c r="JT18" i="3"/>
  <c r="JW18" i="3" s="1"/>
  <c r="JV17" i="3"/>
  <c r="JU17" i="3"/>
  <c r="JT17" i="3"/>
  <c r="JV16" i="3"/>
  <c r="JU16" i="3"/>
  <c r="JT16" i="3"/>
  <c r="JW16" i="3" s="1"/>
  <c r="JV15" i="3"/>
  <c r="JU15" i="3"/>
  <c r="JT15" i="3"/>
  <c r="JV14" i="3"/>
  <c r="JU14" i="3"/>
  <c r="JT14" i="3"/>
  <c r="JV13" i="3"/>
  <c r="JU13" i="3"/>
  <c r="JT13" i="3"/>
  <c r="JW13" i="3" s="1"/>
  <c r="JV12" i="3"/>
  <c r="JU12" i="3"/>
  <c r="JT12" i="3"/>
  <c r="JW12" i="3" s="1"/>
  <c r="JV11" i="3"/>
  <c r="JU11" i="3"/>
  <c r="JT11" i="3"/>
  <c r="JV10" i="3"/>
  <c r="JU10" i="3"/>
  <c r="JT10" i="3"/>
  <c r="JW10" i="3" s="1"/>
  <c r="JV9" i="3"/>
  <c r="JU9" i="3"/>
  <c r="JT9" i="3"/>
  <c r="JV8" i="3"/>
  <c r="JU8" i="3"/>
  <c r="JT8" i="3"/>
  <c r="JW8" i="3" s="1"/>
  <c r="JV7" i="3"/>
  <c r="JU7" i="3"/>
  <c r="JT7" i="3"/>
  <c r="JW7" i="3" s="1"/>
  <c r="JV6" i="3"/>
  <c r="JU6" i="3"/>
  <c r="JW6" i="3"/>
  <c r="Q5" i="3"/>
  <c r="W5" i="3" s="1"/>
  <c r="AC5" i="3" s="1"/>
  <c r="AI5" i="3" s="1"/>
  <c r="AO5" i="3" s="1"/>
  <c r="AU5" i="3" s="1"/>
  <c r="BA5" i="3" s="1"/>
  <c r="BG5" i="3" s="1"/>
  <c r="BM5" i="3" s="1"/>
  <c r="BS5" i="3" s="1"/>
  <c r="BY5" i="3" s="1"/>
  <c r="CE5" i="3" s="1"/>
  <c r="CK5" i="3" s="1"/>
  <c r="CQ5" i="3" s="1"/>
  <c r="CW5" i="3" s="1"/>
  <c r="DC5" i="3" s="1"/>
  <c r="DI5" i="3" s="1"/>
  <c r="DO5" i="3" s="1"/>
  <c r="DU5" i="3" s="1"/>
  <c r="EA5" i="3" s="1"/>
  <c r="EG5" i="3" s="1"/>
  <c r="EM5" i="3" s="1"/>
  <c r="ES5" i="3" s="1"/>
  <c r="EY5" i="3" s="1"/>
  <c r="FE5" i="3" s="1"/>
  <c r="FK5" i="3" s="1"/>
  <c r="FQ5" i="3" s="1"/>
  <c r="FW5" i="3" s="1"/>
  <c r="GC5" i="3" s="1"/>
  <c r="GI5" i="3" s="1"/>
  <c r="GO5" i="3" s="1"/>
  <c r="GU5" i="3" s="1"/>
  <c r="HA5" i="3" s="1"/>
  <c r="HG5" i="3" s="1"/>
  <c r="HM5" i="3" s="1"/>
  <c r="HS5" i="3" s="1"/>
  <c r="HY5" i="3" s="1"/>
  <c r="IE5" i="3" s="1"/>
  <c r="P5" i="3"/>
  <c r="V5" i="3" s="1"/>
  <c r="AB5" i="3" s="1"/>
  <c r="AH5" i="3" s="1"/>
  <c r="AN5" i="3" s="1"/>
  <c r="AT5" i="3" s="1"/>
  <c r="AZ5" i="3" s="1"/>
  <c r="BF5" i="3" s="1"/>
  <c r="BL5" i="3" s="1"/>
  <c r="BR5" i="3" s="1"/>
  <c r="BX5" i="3" s="1"/>
  <c r="CD5" i="3" s="1"/>
  <c r="CJ5" i="3" s="1"/>
  <c r="CP5" i="3" s="1"/>
  <c r="CV5" i="3" s="1"/>
  <c r="DB5" i="3" s="1"/>
  <c r="DH5" i="3" s="1"/>
  <c r="DN5" i="3" s="1"/>
  <c r="DT5" i="3" s="1"/>
  <c r="DZ5" i="3" s="1"/>
  <c r="EF5" i="3" s="1"/>
  <c r="EL5" i="3" s="1"/>
  <c r="ER5" i="3" s="1"/>
  <c r="EX5" i="3" s="1"/>
  <c r="FD5" i="3" s="1"/>
  <c r="FJ5" i="3" s="1"/>
  <c r="U5" i="3"/>
  <c r="AA5" i="3" s="1"/>
  <c r="AG5" i="3" s="1"/>
  <c r="AM5" i="3" s="1"/>
  <c r="AS5" i="3" s="1"/>
  <c r="AY5" i="3" s="1"/>
  <c r="BE5" i="3" s="1"/>
  <c r="BK5" i="3" s="1"/>
  <c r="BQ5" i="3" s="1"/>
  <c r="BW5" i="3" s="1"/>
  <c r="CC5" i="3" s="1"/>
  <c r="CI5" i="3" s="1"/>
  <c r="CO5" i="3" s="1"/>
  <c r="CU5" i="3" s="1"/>
  <c r="DA5" i="3" s="1"/>
  <c r="DG5" i="3" s="1"/>
  <c r="DM5" i="3" s="1"/>
  <c r="DS5" i="3" s="1"/>
  <c r="DY5" i="3" s="1"/>
  <c r="EE5" i="3" s="1"/>
  <c r="EK5" i="3" s="1"/>
  <c r="EQ5" i="3" s="1"/>
  <c r="EW5" i="3" s="1"/>
  <c r="FC5" i="3" s="1"/>
  <c r="FI5" i="3" s="1"/>
  <c r="FO5" i="3" s="1"/>
  <c r="FU5" i="3" s="1"/>
  <c r="GA5" i="3" s="1"/>
  <c r="GG5" i="3" s="1"/>
  <c r="GM5" i="3" s="1"/>
  <c r="GS5" i="3" s="1"/>
  <c r="GY5" i="3" s="1"/>
  <c r="HE5" i="3" s="1"/>
  <c r="HK5" i="3" s="1"/>
  <c r="HQ5" i="3" s="1"/>
  <c r="HW5" i="3" s="1"/>
  <c r="IC5" i="3" s="1"/>
  <c r="II5" i="3" s="1"/>
  <c r="T5" i="3"/>
  <c r="Z5" i="3" s="1"/>
  <c r="AF5" i="3" s="1"/>
  <c r="AL5" i="3" s="1"/>
  <c r="AR5" i="3" s="1"/>
  <c r="AX5" i="3" s="1"/>
  <c r="BD5" i="3" s="1"/>
  <c r="BJ5" i="3" s="1"/>
  <c r="BP5" i="3" s="1"/>
  <c r="BV5" i="3" s="1"/>
  <c r="CB5" i="3" s="1"/>
  <c r="CH5" i="3" s="1"/>
  <c r="CN5" i="3" s="1"/>
  <c r="CT5" i="3" s="1"/>
  <c r="CZ5" i="3" s="1"/>
  <c r="DF5" i="3" s="1"/>
  <c r="DL5" i="3" s="1"/>
  <c r="DR5" i="3" s="1"/>
  <c r="DX5" i="3" s="1"/>
  <c r="ED5" i="3" s="1"/>
  <c r="EJ5" i="3" s="1"/>
  <c r="EP5" i="3" s="1"/>
  <c r="EV5" i="3" s="1"/>
  <c r="FB5" i="3" s="1"/>
  <c r="FH5" i="3" s="1"/>
  <c r="FN5" i="3" s="1"/>
  <c r="FT5" i="3" s="1"/>
  <c r="FZ5" i="3" s="1"/>
  <c r="GF5" i="3" s="1"/>
  <c r="GL5" i="3" s="1"/>
  <c r="GR5" i="3" s="1"/>
  <c r="GX5" i="3" s="1"/>
  <c r="HD5" i="3" s="1"/>
  <c r="HJ5" i="3" s="1"/>
  <c r="HP5" i="3" s="1"/>
  <c r="HV5" i="3" s="1"/>
  <c r="IB5" i="3" s="1"/>
  <c r="S5" i="3"/>
  <c r="Y5" i="3" s="1"/>
  <c r="AE5" i="3" s="1"/>
  <c r="AK5" i="3" s="1"/>
  <c r="AQ5" i="3" s="1"/>
  <c r="AW5" i="3" s="1"/>
  <c r="BC5" i="3" s="1"/>
  <c r="BI5" i="3" s="1"/>
  <c r="BO5" i="3" s="1"/>
  <c r="BU5" i="3" s="1"/>
  <c r="CA5" i="3" s="1"/>
  <c r="CG5" i="3" s="1"/>
  <c r="CM5" i="3" s="1"/>
  <c r="CS5" i="3" s="1"/>
  <c r="CY5" i="3" s="1"/>
  <c r="DE5" i="3" s="1"/>
  <c r="DK5" i="3" s="1"/>
  <c r="DQ5" i="3" s="1"/>
  <c r="DW5" i="3" s="1"/>
  <c r="EC5" i="3" s="1"/>
  <c r="EI5" i="3" s="1"/>
  <c r="EO5" i="3" s="1"/>
  <c r="EU5" i="3" s="1"/>
  <c r="FA5" i="3" s="1"/>
  <c r="FG5" i="3" s="1"/>
  <c r="FM5" i="3" s="1"/>
  <c r="FS5" i="3" s="1"/>
  <c r="FY5" i="3" s="1"/>
  <c r="GE5" i="3" s="1"/>
  <c r="GK5" i="3" s="1"/>
  <c r="GQ5" i="3" s="1"/>
  <c r="GW5" i="3" s="1"/>
  <c r="HC5" i="3" s="1"/>
  <c r="HI5" i="3" s="1"/>
  <c r="HO5" i="3" s="1"/>
  <c r="HU5" i="3" s="1"/>
  <c r="IA5" i="3" s="1"/>
  <c r="R5" i="3"/>
  <c r="X5" i="3" s="1"/>
  <c r="AD5" i="3" s="1"/>
  <c r="AJ5" i="3" s="1"/>
  <c r="AP5" i="3" s="1"/>
  <c r="AV5" i="3" s="1"/>
  <c r="BB5" i="3" s="1"/>
  <c r="BH5" i="3" s="1"/>
  <c r="BN5" i="3" s="1"/>
  <c r="BT5" i="3" s="1"/>
  <c r="BZ5" i="3" s="1"/>
  <c r="CF5" i="3" s="1"/>
  <c r="CL5" i="3" s="1"/>
  <c r="CR5" i="3" s="1"/>
  <c r="CX5" i="3" s="1"/>
  <c r="DD5" i="3" s="1"/>
  <c r="DJ5" i="3" s="1"/>
  <c r="DP5" i="3" s="1"/>
  <c r="DV5" i="3" s="1"/>
  <c r="EB5" i="3" s="1"/>
  <c r="EH5" i="3" s="1"/>
  <c r="EN5" i="3" s="1"/>
  <c r="ET5" i="3" s="1"/>
  <c r="EZ5" i="3" s="1"/>
  <c r="FF5" i="3" s="1"/>
  <c r="FL5" i="3" s="1"/>
  <c r="FR5" i="3" s="1"/>
  <c r="FX5" i="3" s="1"/>
  <c r="GD5" i="3" s="1"/>
  <c r="GJ5" i="3" s="1"/>
  <c r="GP5" i="3" s="1"/>
  <c r="GV5" i="3" s="1"/>
  <c r="HB5" i="3" s="1"/>
  <c r="HH5" i="3" s="1"/>
  <c r="HN5" i="3" s="1"/>
  <c r="HT5" i="3" s="1"/>
  <c r="HZ5" i="3" s="1"/>
  <c r="IF5" i="3" s="1"/>
  <c r="FP5" i="3" l="1"/>
  <c r="FV5" i="3" s="1"/>
  <c r="GB5" i="3" s="1"/>
  <c r="GH5" i="3" s="1"/>
  <c r="GN5" i="3" s="1"/>
  <c r="GT5" i="3" s="1"/>
  <c r="GZ5" i="3" s="1"/>
  <c r="HF5" i="3" s="1"/>
  <c r="HL5" i="3" s="1"/>
  <c r="HR5" i="3" s="1"/>
  <c r="HX5" i="3" s="1"/>
  <c r="ID5" i="3" s="1"/>
  <c r="IJ5" i="3" s="1"/>
  <c r="IP5" i="3" s="1"/>
  <c r="IV5" i="3" s="1"/>
  <c r="JB5" i="3" s="1"/>
  <c r="JH5" i="3" s="1"/>
  <c r="JN5" i="3" s="1"/>
  <c r="JZ17" i="3"/>
  <c r="C17" i="3" s="1"/>
  <c r="IL5" i="3"/>
  <c r="IR5" i="3" s="1"/>
  <c r="IX5" i="3" s="1"/>
  <c r="JD5" i="3" s="1"/>
  <c r="JJ5" i="3" s="1"/>
  <c r="JP5" i="3" s="1"/>
  <c r="IH5" i="3"/>
  <c r="IN5" i="3" s="1"/>
  <c r="IT5" i="3" s="1"/>
  <c r="IZ5" i="3" s="1"/>
  <c r="JF5" i="3" s="1"/>
  <c r="JL5" i="3" s="1"/>
  <c r="JR5" i="3" s="1"/>
  <c r="IG5" i="3"/>
  <c r="IM5" i="3" s="1"/>
  <c r="IS5" i="3" s="1"/>
  <c r="IY5" i="3" s="1"/>
  <c r="JE5" i="3" s="1"/>
  <c r="JK5" i="3" s="1"/>
  <c r="JQ5" i="3" s="1"/>
  <c r="IK5" i="3"/>
  <c r="IQ5" i="3" s="1"/>
  <c r="IW5" i="3" s="1"/>
  <c r="JC5" i="3" s="1"/>
  <c r="JI5" i="3" s="1"/>
  <c r="JO5" i="3" s="1"/>
  <c r="IO5" i="3"/>
  <c r="IU5" i="3" s="1"/>
  <c r="JA5" i="3" s="1"/>
  <c r="JG5" i="3" s="1"/>
  <c r="JM5" i="3" s="1"/>
  <c r="JS5" i="3" s="1"/>
  <c r="JZ20" i="3"/>
  <c r="C20" i="3" s="1"/>
  <c r="JW17" i="3"/>
  <c r="JZ19" i="3"/>
  <c r="C19" i="3" s="1"/>
  <c r="JZ16" i="3"/>
  <c r="C16" i="3" s="1"/>
  <c r="JZ13" i="3"/>
  <c r="C13" i="3" s="1"/>
  <c r="JZ9" i="3"/>
  <c r="C9" i="3" s="1"/>
  <c r="JZ10" i="3"/>
  <c r="C10" i="3" s="1"/>
  <c r="JX14" i="3"/>
  <c r="JZ6" i="3"/>
  <c r="C6" i="3" s="1"/>
  <c r="JZ8" i="3"/>
  <c r="C8" i="3" s="1"/>
  <c r="JX9" i="3"/>
  <c r="JZ12" i="3"/>
  <c r="C12" i="3" s="1"/>
  <c r="JZ14" i="3"/>
  <c r="C14" i="3" s="1"/>
  <c r="JZ11" i="3"/>
  <c r="C11" i="3" s="1"/>
  <c r="JZ15" i="3"/>
  <c r="C15" i="3" s="1"/>
  <c r="JZ18" i="3"/>
  <c r="C18" i="3" s="1"/>
  <c r="JZ7" i="3"/>
  <c r="C7" i="3" s="1"/>
  <c r="JX7" i="3"/>
  <c r="JW14" i="3"/>
  <c r="JW15" i="3"/>
  <c r="JW11" i="3"/>
  <c r="JW9" i="3"/>
</calcChain>
</file>

<file path=xl/sharedStrings.xml><?xml version="1.0" encoding="utf-8"?>
<sst xmlns="http://schemas.openxmlformats.org/spreadsheetml/2006/main" count="1396" uniqueCount="53">
  <si>
    <t>ANNEE 2023-2024</t>
  </si>
  <si>
    <t>MODE</t>
  </si>
  <si>
    <t>Taux d'AP objectif</t>
  </si>
  <si>
    <t>TOTAL JOUR DE FORMATION</t>
  </si>
  <si>
    <t>TOTAL JOUR DE STAGE</t>
  </si>
  <si>
    <t>TOTAL JOUR DE VACANCE</t>
  </si>
  <si>
    <t>NB DE SEMAINE DE FORMATION</t>
  </si>
  <si>
    <t>TAUX FPA</t>
  </si>
  <si>
    <t>nondre de jour ouvrable jusqu'au date X</t>
  </si>
  <si>
    <t>M</t>
  </si>
  <si>
    <t>J</t>
  </si>
  <si>
    <t>V</t>
  </si>
  <si>
    <t>S</t>
  </si>
  <si>
    <t>L</t>
  </si>
  <si>
    <t>R-PP</t>
  </si>
  <si>
    <t>عيد المولد النبوي الشريف</t>
  </si>
  <si>
    <t>ذكرى  المسيرة الخضراء</t>
  </si>
  <si>
    <t>عيد الاستقلال</t>
  </si>
  <si>
    <t>عطلة الطور الأول</t>
  </si>
  <si>
    <t>عطلة منتصف السنة التكوينية</t>
  </si>
  <si>
    <t>عطلة الطور الثالث</t>
  </si>
  <si>
    <t>EFF</t>
  </si>
  <si>
    <t xml:space="preserve">عيد الاضحى </t>
  </si>
  <si>
    <t>FPA-PP</t>
  </si>
  <si>
    <t>ST</t>
  </si>
  <si>
    <t>R-FF</t>
  </si>
  <si>
    <t>FPA-FF</t>
  </si>
  <si>
    <t>2A BAC PRO</t>
  </si>
  <si>
    <t>R</t>
  </si>
  <si>
    <t>FPA</t>
  </si>
  <si>
    <t>رأس السنة الميلادية</t>
  </si>
  <si>
    <t>1A+2A+3A PC</t>
  </si>
  <si>
    <t>1A BAC PRO</t>
  </si>
  <si>
    <t>3A BAC PRO</t>
  </si>
  <si>
    <t>1A-CDJ (Résidentiel-passage)</t>
  </si>
  <si>
    <t>1A-CDJ (FPA-passage)</t>
  </si>
  <si>
    <t>2A-CDJ (Résidentiel-Fin de formation)</t>
  </si>
  <si>
    <t>2A-CDJ (FPA-Fin de formation)</t>
  </si>
  <si>
    <t>CDS 1A+2A (Résidentiel-passage)</t>
  </si>
  <si>
    <t>CDS-3A (Résidentiel-Fin de formation)</t>
  </si>
  <si>
    <t>2A-CDJ -filières 2 ans et demi  (FPA-passage)</t>
  </si>
  <si>
    <t>3A-CDJ -filières 2 ans et demi (résidentiel-Fin de Formation)</t>
  </si>
  <si>
    <t>3A-CDJ -filières 2 ans et demi (FPA-Fin de Formation)</t>
  </si>
  <si>
    <t>2A-CDJ-filières 2 ans et demi - (Résidentiel-passage)(sans stage)</t>
  </si>
  <si>
    <t>2A-CDJ-filières 2 ans et demi - (Résidentiel-passage)(avec stage)</t>
  </si>
  <si>
    <t>عطلة رأس السنة الأمازيغية</t>
  </si>
  <si>
    <t>عيد الشغل</t>
  </si>
  <si>
    <t>فاتح محرم</t>
  </si>
  <si>
    <t>vac MEN</t>
  </si>
  <si>
    <t>عطلة الطور الرابع</t>
  </si>
  <si>
    <t>45 (3ème conseil de classe)</t>
  </si>
  <si>
    <t>14 (3ème conseil de classe)</t>
  </si>
  <si>
    <t>31  (2ème conseil de classe)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</si>
</sst>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b/>
      <i/>
      <sz val="12"/>
      <name val="Calibri"/>
      <family val="2"/>
      <scheme val="minor"/>
    </font>
    <font>
      <b/>
      <u/>
      <sz val="11"/>
      <name val="Calibri"/>
      <family val="2"/>
      <scheme val="minor"/>
    </font>
    <font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/>
    </xf>
    <xf numFmtId="9" fontId="8" fillId="11" borderId="1" xfId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9" fontId="8" fillId="9" borderId="1" xfId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9" fontId="7" fillId="8" borderId="1" xfId="1" applyFont="1" applyFill="1" applyBorder="1" applyAlignment="1">
      <alignment horizontal="center" vertical="center"/>
    </xf>
    <xf numFmtId="9" fontId="8" fillId="10" borderId="1" xfId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center" vertical="center"/>
    </xf>
    <xf numFmtId="9" fontId="8" fillId="12" borderId="1" xfId="1" applyFont="1" applyFill="1" applyBorder="1" applyAlignment="1">
      <alignment horizontal="center" vertical="center"/>
    </xf>
    <xf numFmtId="1" fontId="8" fillId="12" borderId="1" xfId="0" applyNumberFormat="1" applyFont="1" applyFill="1" applyBorder="1" applyAlignment="1">
      <alignment horizontal="center" vertical="center"/>
    </xf>
    <xf numFmtId="1" fontId="8" fillId="11" borderId="1" xfId="0" applyNumberFormat="1" applyFont="1" applyFill="1" applyBorder="1" applyAlignment="1">
      <alignment horizontal="center" vertical="center"/>
    </xf>
    <xf numFmtId="1" fontId="8" fillId="9" borderId="1" xfId="0" applyNumberFormat="1" applyFont="1" applyFill="1" applyBorder="1" applyAlignment="1">
      <alignment horizontal="center" vertical="center"/>
    </xf>
    <xf numFmtId="1" fontId="7" fillId="8" borderId="1" xfId="0" applyNumberFormat="1" applyFont="1" applyFill="1" applyBorder="1" applyAlignment="1">
      <alignment horizontal="center" vertical="center"/>
    </xf>
    <xf numFmtId="1" fontId="8" fillId="10" borderId="1" xfId="0" applyNumberFormat="1" applyFont="1" applyFill="1" applyBorder="1" applyAlignment="1">
      <alignment horizontal="center" vertical="center"/>
    </xf>
    <xf numFmtId="0" fontId="0" fillId="0" borderId="1" xfId="0" applyBorder="1"/>
    <xf numFmtId="14" fontId="10" fillId="4" borderId="1" xfId="0" applyNumberFormat="1" applyFont="1" applyFill="1" applyBorder="1" applyAlignment="1">
      <alignment horizontal="center" vertical="center" textRotation="90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4" fontId="10" fillId="5" borderId="1" xfId="0" applyNumberFormat="1" applyFont="1" applyFill="1" applyBorder="1" applyAlignment="1">
      <alignment horizontal="center" vertical="center" textRotation="90"/>
    </xf>
    <xf numFmtId="0" fontId="1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 textRotation="90"/>
    </xf>
    <xf numFmtId="0" fontId="11" fillId="6" borderId="1" xfId="0" applyFont="1" applyFill="1" applyBorder="1" applyAlignment="1">
      <alignment horizontal="center" vertical="center"/>
    </xf>
    <xf numFmtId="14" fontId="10" fillId="8" borderId="1" xfId="0" applyNumberFormat="1" applyFont="1" applyFill="1" applyBorder="1" applyAlignment="1">
      <alignment horizontal="center" vertical="center" textRotation="90"/>
    </xf>
    <xf numFmtId="0" fontId="9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textRotation="90"/>
    </xf>
    <xf numFmtId="0" fontId="3" fillId="3" borderId="5" xfId="0" applyFont="1" applyFill="1" applyBorder="1" applyAlignment="1">
      <alignment horizontal="center" vertical="center" textRotation="90"/>
    </xf>
    <xf numFmtId="0" fontId="3" fillId="3" borderId="7" xfId="0" applyFont="1" applyFill="1" applyBorder="1" applyAlignment="1">
      <alignment horizontal="center" vertical="center" textRotation="90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 textRotation="90"/>
    </xf>
    <xf numFmtId="0" fontId="3" fillId="9" borderId="5" xfId="0" applyFont="1" applyFill="1" applyBorder="1" applyAlignment="1">
      <alignment horizontal="center" vertical="center" textRotation="90"/>
    </xf>
    <xf numFmtId="0" fontId="3" fillId="9" borderId="7" xfId="0" applyFont="1" applyFill="1" applyBorder="1" applyAlignment="1">
      <alignment horizontal="center" vertical="center" textRotation="90"/>
    </xf>
    <xf numFmtId="0" fontId="3" fillId="3" borderId="6" xfId="0" applyFont="1" applyFill="1" applyBorder="1" applyAlignment="1">
      <alignment horizontal="center" vertical="center" textRotation="90" wrapText="1"/>
    </xf>
    <xf numFmtId="0" fontId="3" fillId="3" borderId="5" xfId="0" applyFont="1" applyFill="1" applyBorder="1" applyAlignment="1">
      <alignment horizontal="center" vertical="center" textRotation="90" wrapText="1"/>
    </xf>
    <xf numFmtId="0" fontId="3" fillId="3" borderId="7" xfId="0" applyFont="1" applyFill="1" applyBorder="1" applyAlignment="1">
      <alignment horizontal="center" vertical="center" textRotation="90" wrapText="1"/>
    </xf>
    <xf numFmtId="0" fontId="10" fillId="8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90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A1062-15D6-41D1-A638-3F6BD5D3B626}">
  <dimension ref="A3:KA20"/>
  <sheetViews>
    <sheetView tabSelected="1" zoomScale="109" workbookViewId="0">
      <pane xSplit="1" topLeftCell="B1" activePane="topRight" state="frozen"/>
      <selection pane="topRight" activeCell="FZ13" sqref="FZ13:FZ14"/>
    </sheetView>
  </sheetViews>
  <sheetFormatPr baseColWidth="10" defaultRowHeight="15" x14ac:dyDescent="0.25"/>
  <cols>
    <col min="1" max="1" width="75.7109375" bestFit="1" customWidth="1"/>
    <col min="2" max="2" width="10.42578125" customWidth="1"/>
    <col min="3" max="3" width="11.140625" customWidth="1"/>
    <col min="4" max="4" width="4.5703125" bestFit="1" customWidth="1"/>
    <col min="5" max="6" width="4" bestFit="1" customWidth="1"/>
    <col min="7" max="8" width="19" bestFit="1" customWidth="1"/>
    <col min="9" max="45" width="4" bestFit="1" customWidth="1"/>
    <col min="46" max="51" width="10.85546875" bestFit="1" customWidth="1"/>
    <col min="52" max="60" width="4" bestFit="1" customWidth="1"/>
    <col min="61" max="61" width="17.28515625" bestFit="1" customWidth="1"/>
    <col min="62" max="70" width="4" bestFit="1" customWidth="1"/>
    <col min="71" max="71" width="11.140625" bestFit="1" customWidth="1"/>
    <col min="72" max="81" width="4" bestFit="1" customWidth="1"/>
    <col min="82" max="82" width="4.42578125" customWidth="1"/>
    <col min="83" max="83" width="5" customWidth="1"/>
    <col min="84" max="84" width="5.140625" customWidth="1"/>
    <col min="85" max="85" width="4.42578125" customWidth="1"/>
    <col min="86" max="86" width="4" bestFit="1" customWidth="1"/>
    <col min="87" max="87" width="5.28515625" bestFit="1" customWidth="1"/>
    <col min="88" max="93" width="13" bestFit="1" customWidth="1"/>
    <col min="94" max="106" width="4" bestFit="1" customWidth="1"/>
    <col min="107" max="107" width="5.140625" bestFit="1" customWidth="1"/>
    <col min="108" max="108" width="4" bestFit="1" customWidth="1"/>
    <col min="109" max="109" width="14.7109375" bestFit="1" customWidth="1"/>
    <col min="110" max="111" width="4.5703125" bestFit="1" customWidth="1"/>
    <col min="112" max="114" width="5.140625" bestFit="1" customWidth="1"/>
    <col min="115" max="116" width="4" bestFit="1" customWidth="1"/>
    <col min="117" max="117" width="5.140625" bestFit="1" customWidth="1"/>
    <col min="118" max="118" width="4" bestFit="1" customWidth="1"/>
    <col min="119" max="119" width="5.140625" bestFit="1" customWidth="1"/>
    <col min="120" max="120" width="19.7109375" bestFit="1" customWidth="1"/>
    <col min="121" max="121" width="4.5703125" customWidth="1"/>
    <col min="122" max="129" width="4" bestFit="1" customWidth="1"/>
    <col min="130" max="135" width="21.42578125" bestFit="1" customWidth="1"/>
    <col min="136" max="165" width="4" bestFit="1" customWidth="1"/>
    <col min="166" max="166" width="4.7109375" customWidth="1"/>
    <col min="167" max="167" width="4.5703125" customWidth="1"/>
    <col min="168" max="168" width="4" bestFit="1" customWidth="1"/>
    <col min="169" max="169" width="4.42578125" customWidth="1"/>
    <col min="170" max="170" width="4" bestFit="1" customWidth="1"/>
    <col min="171" max="171" width="6.5703125" customWidth="1"/>
    <col min="172" max="177" width="13.7109375" bestFit="1" customWidth="1"/>
    <col min="178" max="182" width="4" bestFit="1" customWidth="1"/>
    <col min="183" max="183" width="4.85546875" customWidth="1"/>
    <col min="184" max="188" width="4" bestFit="1" customWidth="1"/>
    <col min="189" max="189" width="6.85546875" customWidth="1"/>
    <col min="190" max="211" width="4" bestFit="1" customWidth="1"/>
    <col min="212" max="212" width="8.7109375" bestFit="1" customWidth="1"/>
    <col min="213" max="213" width="4" bestFit="1" customWidth="1"/>
    <col min="214" max="219" width="13.140625" bestFit="1" customWidth="1"/>
    <col min="220" max="233" width="4" bestFit="1" customWidth="1"/>
    <col min="234" max="236" width="10" bestFit="1" customWidth="1"/>
    <col min="237" max="237" width="4" bestFit="1" customWidth="1"/>
    <col min="238" max="250" width="5.140625" bestFit="1" customWidth="1"/>
    <col min="251" max="251" width="8.42578125" bestFit="1" customWidth="1"/>
    <col min="252" max="254" width="5.140625" bestFit="1" customWidth="1"/>
    <col min="255" max="272" width="4" bestFit="1" customWidth="1"/>
    <col min="273" max="273" width="5.28515625" bestFit="1" customWidth="1"/>
    <col min="274" max="279" width="4" bestFit="1" customWidth="1"/>
    <col min="280" max="280" width="70.42578125" customWidth="1"/>
    <col min="281" max="285" width="6.5703125" customWidth="1"/>
    <col min="286" max="286" width="7.5703125" bestFit="1" customWidth="1"/>
    <col min="287" max="287" width="75.7109375" bestFit="1" customWidth="1"/>
    <col min="288" max="288" width="4.140625" bestFit="1" customWidth="1"/>
    <col min="289" max="289" width="3.7109375" bestFit="1" customWidth="1"/>
    <col min="290" max="290" width="4.140625" bestFit="1" customWidth="1"/>
    <col min="291" max="291" width="6.140625" bestFit="1" customWidth="1"/>
    <col min="292" max="292" width="7.5703125" bestFit="1" customWidth="1"/>
  </cols>
  <sheetData>
    <row r="3" spans="1:287" ht="15.75" customHeight="1" x14ac:dyDescent="0.25">
      <c r="A3" s="64" t="s">
        <v>0</v>
      </c>
      <c r="B3" s="64" t="s">
        <v>1</v>
      </c>
      <c r="C3" s="67" t="s">
        <v>2</v>
      </c>
      <c r="D3" s="55">
        <v>1</v>
      </c>
      <c r="E3" s="56"/>
      <c r="F3" s="56"/>
      <c r="G3" s="56"/>
      <c r="H3" s="56"/>
      <c r="I3" s="57"/>
      <c r="J3" s="55">
        <v>2</v>
      </c>
      <c r="K3" s="56"/>
      <c r="L3" s="56"/>
      <c r="M3" s="56"/>
      <c r="N3" s="56"/>
      <c r="O3" s="57"/>
      <c r="P3" s="55">
        <v>3</v>
      </c>
      <c r="Q3" s="56"/>
      <c r="R3" s="56"/>
      <c r="S3" s="56"/>
      <c r="T3" s="56"/>
      <c r="U3" s="57"/>
      <c r="V3" s="55">
        <v>4</v>
      </c>
      <c r="W3" s="56"/>
      <c r="X3" s="56"/>
      <c r="Y3" s="56"/>
      <c r="Z3" s="56"/>
      <c r="AA3" s="57"/>
      <c r="AB3" s="55">
        <v>5</v>
      </c>
      <c r="AC3" s="56"/>
      <c r="AD3" s="56"/>
      <c r="AE3" s="56"/>
      <c r="AF3" s="56"/>
      <c r="AG3" s="57"/>
      <c r="AH3" s="55">
        <v>6</v>
      </c>
      <c r="AI3" s="56"/>
      <c r="AJ3" s="56"/>
      <c r="AK3" s="56"/>
      <c r="AL3" s="56"/>
      <c r="AM3" s="57"/>
      <c r="AN3" s="55">
        <v>7</v>
      </c>
      <c r="AO3" s="56"/>
      <c r="AP3" s="56"/>
      <c r="AQ3" s="56"/>
      <c r="AR3" s="56"/>
      <c r="AS3" s="57"/>
      <c r="AT3" s="55">
        <v>8</v>
      </c>
      <c r="AU3" s="56"/>
      <c r="AV3" s="56"/>
      <c r="AW3" s="56"/>
      <c r="AX3" s="56"/>
      <c r="AY3" s="57"/>
      <c r="AZ3" s="55">
        <v>9</v>
      </c>
      <c r="BA3" s="56"/>
      <c r="BB3" s="56"/>
      <c r="BC3" s="56"/>
      <c r="BD3" s="56"/>
      <c r="BE3" s="57"/>
      <c r="BF3" s="55">
        <v>10</v>
      </c>
      <c r="BG3" s="56"/>
      <c r="BH3" s="56"/>
      <c r="BI3" s="56"/>
      <c r="BJ3" s="56"/>
      <c r="BK3" s="57"/>
      <c r="BL3" s="55">
        <v>11</v>
      </c>
      <c r="BM3" s="56"/>
      <c r="BN3" s="56"/>
      <c r="BO3" s="56"/>
      <c r="BP3" s="56"/>
      <c r="BQ3" s="57"/>
      <c r="BR3" s="55">
        <v>12</v>
      </c>
      <c r="BS3" s="56"/>
      <c r="BT3" s="56"/>
      <c r="BU3" s="56"/>
      <c r="BV3" s="56"/>
      <c r="BW3" s="57"/>
      <c r="BX3" s="55">
        <v>13</v>
      </c>
      <c r="BY3" s="56"/>
      <c r="BZ3" s="56"/>
      <c r="CA3" s="56"/>
      <c r="CB3" s="56"/>
      <c r="CC3" s="57"/>
      <c r="CD3" s="58" t="s">
        <v>51</v>
      </c>
      <c r="CE3" s="59"/>
      <c r="CF3" s="59"/>
      <c r="CG3" s="59"/>
      <c r="CH3" s="59"/>
      <c r="CI3" s="60"/>
      <c r="CJ3" s="55">
        <v>15</v>
      </c>
      <c r="CK3" s="56"/>
      <c r="CL3" s="56"/>
      <c r="CM3" s="56"/>
      <c r="CN3" s="56"/>
      <c r="CO3" s="57"/>
      <c r="CP3" s="55">
        <v>16</v>
      </c>
      <c r="CQ3" s="56"/>
      <c r="CR3" s="56"/>
      <c r="CS3" s="56"/>
      <c r="CT3" s="56"/>
      <c r="CU3" s="57"/>
      <c r="CV3" s="55">
        <v>17</v>
      </c>
      <c r="CW3" s="56"/>
      <c r="CX3" s="56"/>
      <c r="CY3" s="56"/>
      <c r="CZ3" s="56"/>
      <c r="DA3" s="57"/>
      <c r="DB3" s="55">
        <v>18</v>
      </c>
      <c r="DC3" s="56"/>
      <c r="DD3" s="56"/>
      <c r="DE3" s="56"/>
      <c r="DF3" s="56"/>
      <c r="DG3" s="57"/>
      <c r="DH3" s="55">
        <v>19</v>
      </c>
      <c r="DI3" s="56"/>
      <c r="DJ3" s="56"/>
      <c r="DK3" s="56"/>
      <c r="DL3" s="56"/>
      <c r="DM3" s="57"/>
      <c r="DN3" s="55">
        <v>20</v>
      </c>
      <c r="DO3" s="56"/>
      <c r="DP3" s="56"/>
      <c r="DQ3" s="56"/>
      <c r="DR3" s="56"/>
      <c r="DS3" s="57"/>
      <c r="DT3" s="55">
        <v>21</v>
      </c>
      <c r="DU3" s="56"/>
      <c r="DV3" s="56"/>
      <c r="DW3" s="56"/>
      <c r="DX3" s="56"/>
      <c r="DY3" s="57"/>
      <c r="DZ3" s="55">
        <v>22</v>
      </c>
      <c r="EA3" s="56"/>
      <c r="EB3" s="56"/>
      <c r="EC3" s="56"/>
      <c r="ED3" s="56"/>
      <c r="EE3" s="57"/>
      <c r="EF3" s="55">
        <v>23</v>
      </c>
      <c r="EG3" s="56"/>
      <c r="EH3" s="56"/>
      <c r="EI3" s="56"/>
      <c r="EJ3" s="56"/>
      <c r="EK3" s="57"/>
      <c r="EL3" s="55">
        <v>24</v>
      </c>
      <c r="EM3" s="56"/>
      <c r="EN3" s="56"/>
      <c r="EO3" s="56"/>
      <c r="EP3" s="56"/>
      <c r="EQ3" s="57"/>
      <c r="ER3" s="55">
        <v>25</v>
      </c>
      <c r="ES3" s="56"/>
      <c r="ET3" s="56"/>
      <c r="EU3" s="56"/>
      <c r="EV3" s="56"/>
      <c r="EW3" s="57"/>
      <c r="EX3" s="55">
        <v>26</v>
      </c>
      <c r="EY3" s="56"/>
      <c r="EZ3" s="56"/>
      <c r="FA3" s="56"/>
      <c r="FB3" s="56"/>
      <c r="FC3" s="57"/>
      <c r="FD3" s="55">
        <v>27</v>
      </c>
      <c r="FE3" s="56"/>
      <c r="FF3" s="56"/>
      <c r="FG3" s="56"/>
      <c r="FH3" s="56"/>
      <c r="FI3" s="57"/>
      <c r="FJ3" s="55">
        <v>28</v>
      </c>
      <c r="FK3" s="56"/>
      <c r="FL3" s="56"/>
      <c r="FM3" s="56"/>
      <c r="FN3" s="56"/>
      <c r="FO3" s="57"/>
      <c r="FP3" s="55">
        <v>29</v>
      </c>
      <c r="FQ3" s="56"/>
      <c r="FR3" s="56"/>
      <c r="FS3" s="56"/>
      <c r="FT3" s="56"/>
      <c r="FU3" s="57"/>
      <c r="FV3" s="55">
        <v>30</v>
      </c>
      <c r="FW3" s="56"/>
      <c r="FX3" s="56"/>
      <c r="FY3" s="56"/>
      <c r="FZ3" s="56"/>
      <c r="GA3" s="57"/>
      <c r="GB3" s="68" t="s">
        <v>52</v>
      </c>
      <c r="GC3" s="69"/>
      <c r="GD3" s="69"/>
      <c r="GE3" s="69"/>
      <c r="GF3" s="69"/>
      <c r="GG3" s="70"/>
      <c r="GH3" s="55">
        <v>32</v>
      </c>
      <c r="GI3" s="56"/>
      <c r="GJ3" s="56"/>
      <c r="GK3" s="56"/>
      <c r="GL3" s="56"/>
      <c r="GM3" s="57"/>
      <c r="GN3" s="55">
        <v>33</v>
      </c>
      <c r="GO3" s="56"/>
      <c r="GP3" s="56"/>
      <c r="GQ3" s="56"/>
      <c r="GR3" s="56"/>
      <c r="GS3" s="57"/>
      <c r="GT3" s="55">
        <v>34</v>
      </c>
      <c r="GU3" s="56"/>
      <c r="GV3" s="56"/>
      <c r="GW3" s="56"/>
      <c r="GX3" s="56"/>
      <c r="GY3" s="57"/>
      <c r="GZ3" s="55">
        <v>35</v>
      </c>
      <c r="HA3" s="56"/>
      <c r="HB3" s="56"/>
      <c r="HC3" s="56"/>
      <c r="HD3" s="56"/>
      <c r="HE3" s="57"/>
      <c r="HF3" s="55">
        <v>36</v>
      </c>
      <c r="HG3" s="56"/>
      <c r="HH3" s="56"/>
      <c r="HI3" s="56"/>
      <c r="HJ3" s="56"/>
      <c r="HK3" s="57"/>
      <c r="HL3" s="55">
        <v>37</v>
      </c>
      <c r="HM3" s="56"/>
      <c r="HN3" s="56"/>
      <c r="HO3" s="56"/>
      <c r="HP3" s="56"/>
      <c r="HQ3" s="57"/>
      <c r="HR3" s="46">
        <v>38</v>
      </c>
      <c r="HS3" s="46"/>
      <c r="HT3" s="46"/>
      <c r="HU3" s="46"/>
      <c r="HV3" s="46"/>
      <c r="HW3" s="46"/>
      <c r="HX3" s="46">
        <v>39</v>
      </c>
      <c r="HY3" s="46"/>
      <c r="HZ3" s="46"/>
      <c r="IA3" s="46"/>
      <c r="IB3" s="46"/>
      <c r="IC3" s="46"/>
      <c r="ID3" s="55">
        <v>40</v>
      </c>
      <c r="IE3" s="56"/>
      <c r="IF3" s="56"/>
      <c r="IG3" s="56"/>
      <c r="IH3" s="56"/>
      <c r="II3" s="57"/>
      <c r="IJ3" s="46">
        <v>41</v>
      </c>
      <c r="IK3" s="46"/>
      <c r="IL3" s="46"/>
      <c r="IM3" s="46"/>
      <c r="IN3" s="46"/>
      <c r="IO3" s="46"/>
      <c r="IP3" s="46">
        <v>42</v>
      </c>
      <c r="IQ3" s="46"/>
      <c r="IR3" s="46"/>
      <c r="IS3" s="46"/>
      <c r="IT3" s="46"/>
      <c r="IU3" s="46"/>
      <c r="IV3" s="47">
        <v>43</v>
      </c>
      <c r="IW3" s="47"/>
      <c r="IX3" s="47"/>
      <c r="IY3" s="47"/>
      <c r="IZ3" s="47"/>
      <c r="JA3" s="47"/>
      <c r="JB3" s="47">
        <v>44</v>
      </c>
      <c r="JC3" s="47"/>
      <c r="JD3" s="47"/>
      <c r="JE3" s="47"/>
      <c r="JF3" s="47"/>
      <c r="JG3" s="47"/>
      <c r="JH3" s="54" t="s">
        <v>50</v>
      </c>
      <c r="JI3" s="54"/>
      <c r="JJ3" s="54"/>
      <c r="JK3" s="54"/>
      <c r="JL3" s="54"/>
      <c r="JM3" s="54"/>
      <c r="JN3" s="47">
        <v>44</v>
      </c>
      <c r="JO3" s="47"/>
      <c r="JP3" s="47"/>
      <c r="JQ3" s="47"/>
      <c r="JR3" s="47"/>
      <c r="JS3" s="47"/>
      <c r="JT3" s="48" t="s">
        <v>3</v>
      </c>
      <c r="JU3" s="43" t="s">
        <v>4</v>
      </c>
      <c r="JV3" s="43" t="s">
        <v>5</v>
      </c>
      <c r="JW3" s="43" t="s">
        <v>6</v>
      </c>
      <c r="JX3" s="43" t="s">
        <v>7</v>
      </c>
      <c r="JY3" s="51" t="s">
        <v>8</v>
      </c>
      <c r="JZ3" s="43" t="s">
        <v>2</v>
      </c>
      <c r="KA3" s="61" t="s">
        <v>0</v>
      </c>
    </row>
    <row r="4" spans="1:287" x14ac:dyDescent="0.25">
      <c r="A4" s="65"/>
      <c r="B4" s="65"/>
      <c r="C4" s="67"/>
      <c r="D4" s="1" t="s">
        <v>13</v>
      </c>
      <c r="E4" s="1" t="s">
        <v>9</v>
      </c>
      <c r="F4" s="1" t="s">
        <v>9</v>
      </c>
      <c r="G4" s="30" t="s">
        <v>10</v>
      </c>
      <c r="H4" s="30" t="s">
        <v>11</v>
      </c>
      <c r="I4" s="1" t="s">
        <v>12</v>
      </c>
      <c r="J4" s="1" t="s">
        <v>13</v>
      </c>
      <c r="K4" s="1" t="s">
        <v>9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13</v>
      </c>
      <c r="Q4" s="1" t="s">
        <v>9</v>
      </c>
      <c r="R4" s="1" t="s">
        <v>9</v>
      </c>
      <c r="S4" s="1" t="s">
        <v>10</v>
      </c>
      <c r="T4" s="1" t="s">
        <v>11</v>
      </c>
      <c r="U4" s="1" t="s">
        <v>12</v>
      </c>
      <c r="V4" s="1" t="s">
        <v>13</v>
      </c>
      <c r="W4" s="1" t="s">
        <v>9</v>
      </c>
      <c r="X4" s="1" t="s">
        <v>9</v>
      </c>
      <c r="Y4" s="1" t="s">
        <v>10</v>
      </c>
      <c r="Z4" s="1" t="s">
        <v>11</v>
      </c>
      <c r="AA4" s="1" t="s">
        <v>12</v>
      </c>
      <c r="AB4" s="1" t="s">
        <v>13</v>
      </c>
      <c r="AC4" s="1" t="s">
        <v>9</v>
      </c>
      <c r="AD4" s="1" t="s">
        <v>9</v>
      </c>
      <c r="AE4" s="2" t="s">
        <v>10</v>
      </c>
      <c r="AF4" s="2" t="s">
        <v>11</v>
      </c>
      <c r="AG4" s="2" t="s">
        <v>12</v>
      </c>
      <c r="AH4" s="1" t="s">
        <v>13</v>
      </c>
      <c r="AI4" s="1" t="s">
        <v>9</v>
      </c>
      <c r="AJ4" s="1" t="s">
        <v>9</v>
      </c>
      <c r="AK4" s="1" t="s">
        <v>10</v>
      </c>
      <c r="AL4" s="1" t="s">
        <v>11</v>
      </c>
      <c r="AM4" s="1" t="s">
        <v>12</v>
      </c>
      <c r="AN4" s="1" t="s">
        <v>13</v>
      </c>
      <c r="AO4" s="1" t="s">
        <v>9</v>
      </c>
      <c r="AP4" s="1" t="s">
        <v>9</v>
      </c>
      <c r="AQ4" s="1" t="s">
        <v>10</v>
      </c>
      <c r="AR4" s="1" t="s">
        <v>11</v>
      </c>
      <c r="AS4" s="1" t="s">
        <v>12</v>
      </c>
      <c r="AT4" s="1" t="s">
        <v>13</v>
      </c>
      <c r="AU4" s="1" t="s">
        <v>9</v>
      </c>
      <c r="AV4" s="1" t="s">
        <v>9</v>
      </c>
      <c r="AW4" s="1" t="s">
        <v>10</v>
      </c>
      <c r="AX4" s="1" t="s">
        <v>11</v>
      </c>
      <c r="AY4" s="1" t="s">
        <v>12</v>
      </c>
      <c r="AZ4" s="1" t="s">
        <v>13</v>
      </c>
      <c r="BA4" s="1" t="s">
        <v>9</v>
      </c>
      <c r="BB4" s="1" t="s">
        <v>9</v>
      </c>
      <c r="BC4" s="2" t="s">
        <v>10</v>
      </c>
      <c r="BD4" s="1" t="s">
        <v>11</v>
      </c>
      <c r="BE4" s="1" t="s">
        <v>12</v>
      </c>
      <c r="BF4" s="1" t="s">
        <v>13</v>
      </c>
      <c r="BG4" s="2" t="s">
        <v>9</v>
      </c>
      <c r="BH4" s="1" t="s">
        <v>9</v>
      </c>
      <c r="BI4" s="30" t="s">
        <v>10</v>
      </c>
      <c r="BJ4" s="1" t="s">
        <v>11</v>
      </c>
      <c r="BK4" s="1" t="s">
        <v>12</v>
      </c>
      <c r="BL4" s="1" t="s">
        <v>13</v>
      </c>
      <c r="BM4" s="2" t="s">
        <v>9</v>
      </c>
      <c r="BN4" s="1" t="s">
        <v>9</v>
      </c>
      <c r="BO4" s="1" t="s">
        <v>10</v>
      </c>
      <c r="BP4" s="1" t="s">
        <v>11</v>
      </c>
      <c r="BQ4" s="1" t="s">
        <v>12</v>
      </c>
      <c r="BR4" s="2" t="s">
        <v>13</v>
      </c>
      <c r="BS4" s="30" t="s">
        <v>9</v>
      </c>
      <c r="BT4" s="1" t="s">
        <v>9</v>
      </c>
      <c r="BU4" s="1" t="s">
        <v>10</v>
      </c>
      <c r="BV4" s="1" t="s">
        <v>11</v>
      </c>
      <c r="BW4" s="1" t="s">
        <v>12</v>
      </c>
      <c r="BX4" s="1" t="s">
        <v>13</v>
      </c>
      <c r="BY4" s="1" t="s">
        <v>9</v>
      </c>
      <c r="BZ4" s="1" t="s">
        <v>9</v>
      </c>
      <c r="CA4" s="1" t="s">
        <v>10</v>
      </c>
      <c r="CB4" s="1" t="s">
        <v>11</v>
      </c>
      <c r="CC4" s="1" t="s">
        <v>12</v>
      </c>
      <c r="CD4" s="38" t="s">
        <v>13</v>
      </c>
      <c r="CE4" s="38" t="s">
        <v>9</v>
      </c>
      <c r="CF4" s="38" t="s">
        <v>9</v>
      </c>
      <c r="CG4" s="38" t="s">
        <v>10</v>
      </c>
      <c r="CH4" s="38" t="s">
        <v>11</v>
      </c>
      <c r="CI4" s="38" t="s">
        <v>12</v>
      </c>
      <c r="CJ4" s="1" t="s">
        <v>13</v>
      </c>
      <c r="CK4" s="1" t="s">
        <v>9</v>
      </c>
      <c r="CL4" s="1" t="s">
        <v>9</v>
      </c>
      <c r="CM4" s="1" t="s">
        <v>10</v>
      </c>
      <c r="CN4" s="1" t="s">
        <v>11</v>
      </c>
      <c r="CO4" s="1" t="s">
        <v>12</v>
      </c>
      <c r="CP4" s="1" t="s">
        <v>13</v>
      </c>
      <c r="CQ4" s="1" t="s">
        <v>9</v>
      </c>
      <c r="CR4" s="1" t="s">
        <v>9</v>
      </c>
      <c r="CS4" s="1" t="s">
        <v>10</v>
      </c>
      <c r="CT4" s="1" t="s">
        <v>11</v>
      </c>
      <c r="CU4" s="1" t="s">
        <v>12</v>
      </c>
      <c r="CV4" s="2" t="s">
        <v>13</v>
      </c>
      <c r="CW4" s="2" t="s">
        <v>9</v>
      </c>
      <c r="CX4" s="2" t="s">
        <v>9</v>
      </c>
      <c r="CY4" s="2" t="s">
        <v>10</v>
      </c>
      <c r="CZ4" s="2" t="s">
        <v>11</v>
      </c>
      <c r="DA4" s="2" t="s">
        <v>12</v>
      </c>
      <c r="DB4" s="2" t="s">
        <v>13</v>
      </c>
      <c r="DC4" s="2" t="s">
        <v>9</v>
      </c>
      <c r="DD4" s="2" t="s">
        <v>9</v>
      </c>
      <c r="DE4" s="30" t="s">
        <v>10</v>
      </c>
      <c r="DF4" s="1" t="s">
        <v>11</v>
      </c>
      <c r="DG4" s="1" t="s">
        <v>12</v>
      </c>
      <c r="DH4" s="2" t="s">
        <v>13</v>
      </c>
      <c r="DI4" s="2" t="s">
        <v>9</v>
      </c>
      <c r="DJ4" s="1" t="s">
        <v>9</v>
      </c>
      <c r="DK4" s="1" t="s">
        <v>10</v>
      </c>
      <c r="DL4" s="1" t="s">
        <v>11</v>
      </c>
      <c r="DM4" s="1" t="s">
        <v>12</v>
      </c>
      <c r="DN4" s="1" t="s">
        <v>13</v>
      </c>
      <c r="DO4" s="1" t="s">
        <v>9</v>
      </c>
      <c r="DP4" s="30" t="s">
        <v>9</v>
      </c>
      <c r="DQ4" s="1" t="s">
        <v>10</v>
      </c>
      <c r="DR4" s="1" t="s">
        <v>11</v>
      </c>
      <c r="DS4" s="1" t="s">
        <v>12</v>
      </c>
      <c r="DT4" s="1" t="s">
        <v>13</v>
      </c>
      <c r="DU4" s="1" t="s">
        <v>9</v>
      </c>
      <c r="DV4" s="1" t="s">
        <v>9</v>
      </c>
      <c r="DW4" s="1" t="s">
        <v>10</v>
      </c>
      <c r="DX4" s="1" t="s">
        <v>11</v>
      </c>
      <c r="DY4" s="1" t="s">
        <v>12</v>
      </c>
      <c r="DZ4" s="32" t="s">
        <v>13</v>
      </c>
      <c r="EA4" s="32" t="s">
        <v>9</v>
      </c>
      <c r="EB4" s="32" t="s">
        <v>9</v>
      </c>
      <c r="EC4" s="32" t="s">
        <v>10</v>
      </c>
      <c r="ED4" s="32" t="s">
        <v>11</v>
      </c>
      <c r="EE4" s="32" t="s">
        <v>12</v>
      </c>
      <c r="EF4" s="1" t="s">
        <v>13</v>
      </c>
      <c r="EG4" s="1" t="s">
        <v>9</v>
      </c>
      <c r="EH4" s="1" t="s">
        <v>9</v>
      </c>
      <c r="EI4" s="1" t="s">
        <v>10</v>
      </c>
      <c r="EJ4" s="1" t="s">
        <v>11</v>
      </c>
      <c r="EK4" s="1" t="s">
        <v>12</v>
      </c>
      <c r="EL4" s="1" t="s">
        <v>13</v>
      </c>
      <c r="EM4" s="1" t="s">
        <v>9</v>
      </c>
      <c r="EN4" s="1" t="s">
        <v>9</v>
      </c>
      <c r="EO4" s="1" t="s">
        <v>10</v>
      </c>
      <c r="EP4" s="1" t="s">
        <v>11</v>
      </c>
      <c r="EQ4" s="1" t="s">
        <v>12</v>
      </c>
      <c r="ER4" s="1" t="s">
        <v>13</v>
      </c>
      <c r="ES4" s="1" t="s">
        <v>9</v>
      </c>
      <c r="ET4" s="1" t="s">
        <v>9</v>
      </c>
      <c r="EU4" s="1" t="s">
        <v>10</v>
      </c>
      <c r="EV4" s="1" t="s">
        <v>11</v>
      </c>
      <c r="EW4" s="1" t="s">
        <v>12</v>
      </c>
      <c r="EX4" s="1" t="s">
        <v>13</v>
      </c>
      <c r="EY4" s="1" t="s">
        <v>9</v>
      </c>
      <c r="EZ4" s="1" t="s">
        <v>9</v>
      </c>
      <c r="FA4" s="1" t="s">
        <v>10</v>
      </c>
      <c r="FB4" s="1" t="s">
        <v>11</v>
      </c>
      <c r="FC4" s="1" t="s">
        <v>12</v>
      </c>
      <c r="FD4" s="1" t="s">
        <v>13</v>
      </c>
      <c r="FE4" s="1" t="s">
        <v>9</v>
      </c>
      <c r="FF4" s="1" t="s">
        <v>9</v>
      </c>
      <c r="FG4" s="1" t="s">
        <v>10</v>
      </c>
      <c r="FH4" s="1" t="s">
        <v>11</v>
      </c>
      <c r="FI4" s="72" t="s">
        <v>12</v>
      </c>
      <c r="FJ4" s="72" t="s">
        <v>13</v>
      </c>
      <c r="FK4" s="72" t="s">
        <v>9</v>
      </c>
      <c r="FL4" s="72" t="s">
        <v>9</v>
      </c>
      <c r="FM4" s="72" t="s">
        <v>10</v>
      </c>
      <c r="FN4" s="72" t="s">
        <v>11</v>
      </c>
      <c r="FO4" s="72" t="s">
        <v>12</v>
      </c>
      <c r="FP4" s="32" t="s">
        <v>13</v>
      </c>
      <c r="FQ4" s="32" t="s">
        <v>9</v>
      </c>
      <c r="FR4" s="32" t="s">
        <v>9</v>
      </c>
      <c r="FS4" s="32" t="s">
        <v>10</v>
      </c>
      <c r="FT4" s="32" t="s">
        <v>11</v>
      </c>
      <c r="FU4" s="32" t="s">
        <v>12</v>
      </c>
      <c r="FV4" s="72" t="s">
        <v>13</v>
      </c>
      <c r="FW4" s="72" t="s">
        <v>9</v>
      </c>
      <c r="FX4" s="72" t="s">
        <v>9</v>
      </c>
      <c r="FY4" s="72" t="s">
        <v>10</v>
      </c>
      <c r="FZ4" s="72" t="s">
        <v>11</v>
      </c>
      <c r="GA4" s="72" t="s">
        <v>12</v>
      </c>
      <c r="GB4" s="37" t="s">
        <v>13</v>
      </c>
      <c r="GC4" s="37" t="s">
        <v>9</v>
      </c>
      <c r="GD4" s="37" t="s">
        <v>9</v>
      </c>
      <c r="GE4" s="37" t="s">
        <v>10</v>
      </c>
      <c r="GF4" s="37" t="s">
        <v>11</v>
      </c>
      <c r="GG4" s="37" t="s">
        <v>12</v>
      </c>
      <c r="GH4" s="2" t="s">
        <v>13</v>
      </c>
      <c r="GI4" s="2" t="s">
        <v>9</v>
      </c>
      <c r="GJ4" s="2" t="s">
        <v>9</v>
      </c>
      <c r="GK4" s="2" t="s">
        <v>10</v>
      </c>
      <c r="GL4" s="2" t="s">
        <v>11</v>
      </c>
      <c r="GM4" s="2" t="s">
        <v>12</v>
      </c>
      <c r="GN4" s="2" t="s">
        <v>13</v>
      </c>
      <c r="GO4" s="2" t="s">
        <v>9</v>
      </c>
      <c r="GP4" s="2" t="s">
        <v>9</v>
      </c>
      <c r="GQ4" s="1" t="s">
        <v>10</v>
      </c>
      <c r="GR4" s="1" t="s">
        <v>11</v>
      </c>
      <c r="GS4" s="1" t="s">
        <v>12</v>
      </c>
      <c r="GT4" s="1" t="s">
        <v>13</v>
      </c>
      <c r="GU4" s="1" t="s">
        <v>9</v>
      </c>
      <c r="GV4" s="1" t="s">
        <v>9</v>
      </c>
      <c r="GW4" s="1" t="s">
        <v>10</v>
      </c>
      <c r="GX4" s="2" t="s">
        <v>11</v>
      </c>
      <c r="GY4" s="1" t="s">
        <v>12</v>
      </c>
      <c r="GZ4" s="1" t="s">
        <v>13</v>
      </c>
      <c r="HA4" s="1" t="s">
        <v>9</v>
      </c>
      <c r="HB4" s="1" t="s">
        <v>9</v>
      </c>
      <c r="HC4" s="1" t="s">
        <v>10</v>
      </c>
      <c r="HD4" s="30" t="s">
        <v>11</v>
      </c>
      <c r="HE4" s="1" t="s">
        <v>12</v>
      </c>
      <c r="HF4" s="32" t="s">
        <v>13</v>
      </c>
      <c r="HG4" s="32" t="s">
        <v>9</v>
      </c>
      <c r="HH4" s="32" t="s">
        <v>9</v>
      </c>
      <c r="HI4" s="32" t="s">
        <v>10</v>
      </c>
      <c r="HJ4" s="32" t="s">
        <v>11</v>
      </c>
      <c r="HK4" s="32" t="s">
        <v>12</v>
      </c>
      <c r="HL4" s="1" t="s">
        <v>13</v>
      </c>
      <c r="HM4" s="1" t="s">
        <v>9</v>
      </c>
      <c r="HN4" s="1" t="s">
        <v>9</v>
      </c>
      <c r="HO4" s="1" t="s">
        <v>10</v>
      </c>
      <c r="HP4" s="1" t="s">
        <v>11</v>
      </c>
      <c r="HQ4" s="1" t="s">
        <v>12</v>
      </c>
      <c r="HR4" s="1" t="s">
        <v>13</v>
      </c>
      <c r="HS4" s="1" t="s">
        <v>9</v>
      </c>
      <c r="HT4" s="1" t="s">
        <v>9</v>
      </c>
      <c r="HU4" s="1" t="s">
        <v>10</v>
      </c>
      <c r="HV4" s="1" t="s">
        <v>11</v>
      </c>
      <c r="HW4" s="1" t="s">
        <v>12</v>
      </c>
      <c r="HX4" s="1" t="s">
        <v>13</v>
      </c>
      <c r="HY4" s="1" t="s">
        <v>9</v>
      </c>
      <c r="HZ4" s="30" t="s">
        <v>9</v>
      </c>
      <c r="IA4" s="30" t="s">
        <v>10</v>
      </c>
      <c r="IB4" s="30" t="s">
        <v>11</v>
      </c>
      <c r="IC4" s="1" t="s">
        <v>12</v>
      </c>
      <c r="ID4" s="1" t="s">
        <v>13</v>
      </c>
      <c r="IE4" s="1" t="s">
        <v>9</v>
      </c>
      <c r="IF4" s="1" t="s">
        <v>9</v>
      </c>
      <c r="IG4" s="1" t="s">
        <v>10</v>
      </c>
      <c r="IH4" s="1" t="s">
        <v>11</v>
      </c>
      <c r="II4" s="1" t="s">
        <v>12</v>
      </c>
      <c r="IJ4" s="1" t="s">
        <v>13</v>
      </c>
      <c r="IK4" s="1" t="s">
        <v>9</v>
      </c>
      <c r="IL4" s="1" t="s">
        <v>9</v>
      </c>
      <c r="IM4" s="1" t="s">
        <v>10</v>
      </c>
      <c r="IN4" s="1" t="s">
        <v>11</v>
      </c>
      <c r="IO4" s="1" t="s">
        <v>12</v>
      </c>
      <c r="IP4" s="1" t="s">
        <v>13</v>
      </c>
      <c r="IQ4" s="1" t="s">
        <v>9</v>
      </c>
      <c r="IR4" s="1" t="s">
        <v>9</v>
      </c>
      <c r="IS4" s="1" t="s">
        <v>10</v>
      </c>
      <c r="IT4" s="1" t="s">
        <v>11</v>
      </c>
      <c r="IU4" s="1" t="s">
        <v>12</v>
      </c>
      <c r="IV4" s="1" t="s">
        <v>13</v>
      </c>
      <c r="IW4" s="1" t="s">
        <v>9</v>
      </c>
      <c r="IX4" s="1" t="s">
        <v>9</v>
      </c>
      <c r="IY4" s="1" t="s">
        <v>10</v>
      </c>
      <c r="IZ4" s="1" t="s">
        <v>11</v>
      </c>
      <c r="JA4" s="1" t="s">
        <v>12</v>
      </c>
      <c r="JB4" s="1" t="s">
        <v>13</v>
      </c>
      <c r="JC4" s="1" t="s">
        <v>9</v>
      </c>
      <c r="JD4" s="1" t="s">
        <v>9</v>
      </c>
      <c r="JE4" s="1" t="s">
        <v>10</v>
      </c>
      <c r="JF4" s="1" t="s">
        <v>11</v>
      </c>
      <c r="JG4" s="1" t="s">
        <v>12</v>
      </c>
      <c r="JH4" s="37" t="s">
        <v>13</v>
      </c>
      <c r="JI4" s="37" t="s">
        <v>9</v>
      </c>
      <c r="JJ4" s="37" t="s">
        <v>9</v>
      </c>
      <c r="JK4" s="37" t="s">
        <v>10</v>
      </c>
      <c r="JL4" s="37" t="s">
        <v>11</v>
      </c>
      <c r="JM4" s="37" t="s">
        <v>12</v>
      </c>
      <c r="JN4" s="1" t="s">
        <v>13</v>
      </c>
      <c r="JO4" s="1" t="s">
        <v>9</v>
      </c>
      <c r="JP4" s="1" t="s">
        <v>9</v>
      </c>
      <c r="JQ4" s="1" t="s">
        <v>10</v>
      </c>
      <c r="JR4" s="1" t="s">
        <v>11</v>
      </c>
      <c r="JS4" s="1" t="s">
        <v>12</v>
      </c>
      <c r="JT4" s="49"/>
      <c r="JU4" s="44"/>
      <c r="JV4" s="44"/>
      <c r="JW4" s="44"/>
      <c r="JX4" s="44"/>
      <c r="JY4" s="52"/>
      <c r="JZ4" s="44"/>
      <c r="KA4" s="62"/>
    </row>
    <row r="5" spans="1:287" ht="159" customHeight="1" x14ac:dyDescent="0.25">
      <c r="A5" s="66"/>
      <c r="B5" s="66"/>
      <c r="C5" s="67"/>
      <c r="D5" s="25">
        <v>45901</v>
      </c>
      <c r="E5" s="25">
        <v>45902</v>
      </c>
      <c r="F5" s="25">
        <v>45903</v>
      </c>
      <c r="G5" s="28">
        <v>45904</v>
      </c>
      <c r="H5" s="28">
        <v>45905</v>
      </c>
      <c r="I5" s="25">
        <v>45906</v>
      </c>
      <c r="J5" s="25">
        <v>45908</v>
      </c>
      <c r="K5" s="25">
        <v>45909</v>
      </c>
      <c r="L5" s="25">
        <v>45910</v>
      </c>
      <c r="M5" s="25">
        <v>45911</v>
      </c>
      <c r="N5" s="25">
        <v>45912</v>
      </c>
      <c r="O5" s="25">
        <v>45913</v>
      </c>
      <c r="P5" s="25">
        <f t="shared" ref="P5:BV5" si="0">+J5+7</f>
        <v>45915</v>
      </c>
      <c r="Q5" s="25">
        <f t="shared" si="0"/>
        <v>45916</v>
      </c>
      <c r="R5" s="25">
        <f t="shared" si="0"/>
        <v>45917</v>
      </c>
      <c r="S5" s="25">
        <f t="shared" si="0"/>
        <v>45918</v>
      </c>
      <c r="T5" s="25">
        <f t="shared" si="0"/>
        <v>45919</v>
      </c>
      <c r="U5" s="25">
        <f t="shared" si="0"/>
        <v>45920</v>
      </c>
      <c r="V5" s="25">
        <f t="shared" si="0"/>
        <v>45922</v>
      </c>
      <c r="W5" s="25">
        <f t="shared" si="0"/>
        <v>45923</v>
      </c>
      <c r="X5" s="25">
        <f t="shared" si="0"/>
        <v>45924</v>
      </c>
      <c r="Y5" s="25">
        <f t="shared" si="0"/>
        <v>45925</v>
      </c>
      <c r="Z5" s="25">
        <f t="shared" si="0"/>
        <v>45926</v>
      </c>
      <c r="AA5" s="25">
        <f t="shared" si="0"/>
        <v>45927</v>
      </c>
      <c r="AB5" s="25">
        <f t="shared" si="0"/>
        <v>45929</v>
      </c>
      <c r="AC5" s="25">
        <f t="shared" si="0"/>
        <v>45930</v>
      </c>
      <c r="AD5" s="25">
        <f t="shared" si="0"/>
        <v>45931</v>
      </c>
      <c r="AE5" s="25">
        <f t="shared" si="0"/>
        <v>45932</v>
      </c>
      <c r="AF5" s="25">
        <f t="shared" si="0"/>
        <v>45933</v>
      </c>
      <c r="AG5" s="25">
        <f t="shared" si="0"/>
        <v>45934</v>
      </c>
      <c r="AH5" s="25">
        <f t="shared" si="0"/>
        <v>45936</v>
      </c>
      <c r="AI5" s="25">
        <f t="shared" si="0"/>
        <v>45937</v>
      </c>
      <c r="AJ5" s="25">
        <f t="shared" si="0"/>
        <v>45938</v>
      </c>
      <c r="AK5" s="25">
        <f t="shared" si="0"/>
        <v>45939</v>
      </c>
      <c r="AL5" s="25">
        <f t="shared" si="0"/>
        <v>45940</v>
      </c>
      <c r="AM5" s="25">
        <f t="shared" si="0"/>
        <v>45941</v>
      </c>
      <c r="AN5" s="25">
        <f t="shared" si="0"/>
        <v>45943</v>
      </c>
      <c r="AO5" s="25">
        <f t="shared" si="0"/>
        <v>45944</v>
      </c>
      <c r="AP5" s="25">
        <f t="shared" si="0"/>
        <v>45945</v>
      </c>
      <c r="AQ5" s="25">
        <f t="shared" si="0"/>
        <v>45946</v>
      </c>
      <c r="AR5" s="25">
        <f t="shared" si="0"/>
        <v>45947</v>
      </c>
      <c r="AS5" s="25">
        <f t="shared" si="0"/>
        <v>45948</v>
      </c>
      <c r="AT5" s="25">
        <f t="shared" si="0"/>
        <v>45950</v>
      </c>
      <c r="AU5" s="25">
        <f t="shared" si="0"/>
        <v>45951</v>
      </c>
      <c r="AV5" s="25">
        <f t="shared" si="0"/>
        <v>45952</v>
      </c>
      <c r="AW5" s="25">
        <f t="shared" si="0"/>
        <v>45953</v>
      </c>
      <c r="AX5" s="25">
        <f t="shared" si="0"/>
        <v>45954</v>
      </c>
      <c r="AY5" s="25">
        <f t="shared" si="0"/>
        <v>45955</v>
      </c>
      <c r="AZ5" s="25">
        <f t="shared" si="0"/>
        <v>45957</v>
      </c>
      <c r="BA5" s="25">
        <f t="shared" si="0"/>
        <v>45958</v>
      </c>
      <c r="BB5" s="25">
        <f t="shared" si="0"/>
        <v>45959</v>
      </c>
      <c r="BC5" s="25">
        <f t="shared" si="0"/>
        <v>45960</v>
      </c>
      <c r="BD5" s="25">
        <f t="shared" si="0"/>
        <v>45961</v>
      </c>
      <c r="BE5" s="25">
        <f t="shared" si="0"/>
        <v>45962</v>
      </c>
      <c r="BF5" s="25">
        <f t="shared" si="0"/>
        <v>45964</v>
      </c>
      <c r="BG5" s="25">
        <f t="shared" si="0"/>
        <v>45965</v>
      </c>
      <c r="BH5" s="25">
        <f t="shared" si="0"/>
        <v>45966</v>
      </c>
      <c r="BI5" s="28">
        <f t="shared" si="0"/>
        <v>45967</v>
      </c>
      <c r="BJ5" s="25">
        <f t="shared" si="0"/>
        <v>45968</v>
      </c>
      <c r="BK5" s="25">
        <f t="shared" si="0"/>
        <v>45969</v>
      </c>
      <c r="BL5" s="25">
        <f t="shared" si="0"/>
        <v>45971</v>
      </c>
      <c r="BM5" s="25">
        <f t="shared" si="0"/>
        <v>45972</v>
      </c>
      <c r="BN5" s="25">
        <f t="shared" si="0"/>
        <v>45973</v>
      </c>
      <c r="BO5" s="25">
        <f t="shared" si="0"/>
        <v>45974</v>
      </c>
      <c r="BP5" s="25">
        <f t="shared" si="0"/>
        <v>45975</v>
      </c>
      <c r="BQ5" s="25">
        <f t="shared" si="0"/>
        <v>45976</v>
      </c>
      <c r="BR5" s="25">
        <f t="shared" si="0"/>
        <v>45978</v>
      </c>
      <c r="BS5" s="28">
        <f t="shared" si="0"/>
        <v>45979</v>
      </c>
      <c r="BT5" s="25">
        <f t="shared" si="0"/>
        <v>45980</v>
      </c>
      <c r="BU5" s="25">
        <f t="shared" si="0"/>
        <v>45981</v>
      </c>
      <c r="BV5" s="25">
        <f t="shared" si="0"/>
        <v>45982</v>
      </c>
      <c r="BW5" s="25">
        <f t="shared" ref="BW5:EH5" si="1">+BQ5+7</f>
        <v>45983</v>
      </c>
      <c r="BX5" s="25">
        <f t="shared" si="1"/>
        <v>45985</v>
      </c>
      <c r="BY5" s="25">
        <f t="shared" si="1"/>
        <v>45986</v>
      </c>
      <c r="BZ5" s="25">
        <f t="shared" si="1"/>
        <v>45987</v>
      </c>
      <c r="CA5" s="25">
        <f t="shared" si="1"/>
        <v>45988</v>
      </c>
      <c r="CB5" s="25">
        <f t="shared" si="1"/>
        <v>45989</v>
      </c>
      <c r="CC5" s="25">
        <f t="shared" si="1"/>
        <v>45990</v>
      </c>
      <c r="CD5" s="35">
        <f t="shared" si="1"/>
        <v>45992</v>
      </c>
      <c r="CE5" s="35">
        <f t="shared" si="1"/>
        <v>45993</v>
      </c>
      <c r="CF5" s="35">
        <f t="shared" si="1"/>
        <v>45994</v>
      </c>
      <c r="CG5" s="35">
        <f t="shared" si="1"/>
        <v>45995</v>
      </c>
      <c r="CH5" s="35">
        <f t="shared" si="1"/>
        <v>45996</v>
      </c>
      <c r="CI5" s="35">
        <f t="shared" si="1"/>
        <v>45997</v>
      </c>
      <c r="CJ5" s="33">
        <f t="shared" si="1"/>
        <v>45999</v>
      </c>
      <c r="CK5" s="33">
        <f t="shared" si="1"/>
        <v>46000</v>
      </c>
      <c r="CL5" s="33">
        <f t="shared" si="1"/>
        <v>46001</v>
      </c>
      <c r="CM5" s="33">
        <f t="shared" si="1"/>
        <v>46002</v>
      </c>
      <c r="CN5" s="33">
        <f t="shared" si="1"/>
        <v>46003</v>
      </c>
      <c r="CO5" s="33">
        <f t="shared" si="1"/>
        <v>46004</v>
      </c>
      <c r="CP5" s="25">
        <f t="shared" si="1"/>
        <v>46006</v>
      </c>
      <c r="CQ5" s="25">
        <f t="shared" si="1"/>
        <v>46007</v>
      </c>
      <c r="CR5" s="25">
        <f t="shared" si="1"/>
        <v>46008</v>
      </c>
      <c r="CS5" s="25">
        <f t="shared" si="1"/>
        <v>46009</v>
      </c>
      <c r="CT5" s="25">
        <f t="shared" si="1"/>
        <v>46010</v>
      </c>
      <c r="CU5" s="25">
        <f t="shared" si="1"/>
        <v>46011</v>
      </c>
      <c r="CV5" s="25">
        <f t="shared" si="1"/>
        <v>46013</v>
      </c>
      <c r="CW5" s="25">
        <f t="shared" si="1"/>
        <v>46014</v>
      </c>
      <c r="CX5" s="25">
        <f t="shared" si="1"/>
        <v>46015</v>
      </c>
      <c r="CY5" s="25">
        <f t="shared" si="1"/>
        <v>46016</v>
      </c>
      <c r="CZ5" s="25">
        <f t="shared" si="1"/>
        <v>46017</v>
      </c>
      <c r="DA5" s="25">
        <f t="shared" si="1"/>
        <v>46018</v>
      </c>
      <c r="DB5" s="25">
        <f t="shared" si="1"/>
        <v>46020</v>
      </c>
      <c r="DC5" s="25">
        <f t="shared" si="1"/>
        <v>46021</v>
      </c>
      <c r="DD5" s="25">
        <f t="shared" si="1"/>
        <v>46022</v>
      </c>
      <c r="DE5" s="28">
        <f t="shared" si="1"/>
        <v>46023</v>
      </c>
      <c r="DF5" s="25">
        <f t="shared" si="1"/>
        <v>46024</v>
      </c>
      <c r="DG5" s="25">
        <f t="shared" si="1"/>
        <v>46025</v>
      </c>
      <c r="DH5" s="25">
        <f t="shared" si="1"/>
        <v>46027</v>
      </c>
      <c r="DI5" s="25">
        <f t="shared" si="1"/>
        <v>46028</v>
      </c>
      <c r="DJ5" s="25">
        <f t="shared" si="1"/>
        <v>46029</v>
      </c>
      <c r="DK5" s="25">
        <f t="shared" si="1"/>
        <v>46030</v>
      </c>
      <c r="DL5" s="25">
        <f t="shared" si="1"/>
        <v>46031</v>
      </c>
      <c r="DM5" s="25">
        <f t="shared" si="1"/>
        <v>46032</v>
      </c>
      <c r="DN5" s="25">
        <f t="shared" si="1"/>
        <v>46034</v>
      </c>
      <c r="DO5" s="25">
        <f t="shared" si="1"/>
        <v>46035</v>
      </c>
      <c r="DP5" s="28">
        <f t="shared" si="1"/>
        <v>46036</v>
      </c>
      <c r="DQ5" s="25">
        <f t="shared" si="1"/>
        <v>46037</v>
      </c>
      <c r="DR5" s="25">
        <f t="shared" si="1"/>
        <v>46038</v>
      </c>
      <c r="DS5" s="25">
        <f t="shared" si="1"/>
        <v>46039</v>
      </c>
      <c r="DT5" s="25">
        <f t="shared" si="1"/>
        <v>46041</v>
      </c>
      <c r="DU5" s="25">
        <f t="shared" si="1"/>
        <v>46042</v>
      </c>
      <c r="DV5" s="25">
        <f t="shared" si="1"/>
        <v>46043</v>
      </c>
      <c r="DW5" s="25">
        <f t="shared" si="1"/>
        <v>46044</v>
      </c>
      <c r="DX5" s="25">
        <f t="shared" si="1"/>
        <v>46045</v>
      </c>
      <c r="DY5" s="25">
        <f t="shared" si="1"/>
        <v>46046</v>
      </c>
      <c r="DZ5" s="33">
        <f t="shared" si="1"/>
        <v>46048</v>
      </c>
      <c r="EA5" s="33">
        <f t="shared" si="1"/>
        <v>46049</v>
      </c>
      <c r="EB5" s="33">
        <f t="shared" si="1"/>
        <v>46050</v>
      </c>
      <c r="EC5" s="33">
        <f t="shared" si="1"/>
        <v>46051</v>
      </c>
      <c r="ED5" s="33">
        <f t="shared" si="1"/>
        <v>46052</v>
      </c>
      <c r="EE5" s="33">
        <f t="shared" si="1"/>
        <v>46053</v>
      </c>
      <c r="EF5" s="25">
        <f t="shared" si="1"/>
        <v>46055</v>
      </c>
      <c r="EG5" s="25">
        <f t="shared" si="1"/>
        <v>46056</v>
      </c>
      <c r="EH5" s="25">
        <f t="shared" si="1"/>
        <v>46057</v>
      </c>
      <c r="EI5" s="25">
        <f t="shared" ref="EI5:GT5" si="2">+EC5+7</f>
        <v>46058</v>
      </c>
      <c r="EJ5" s="25">
        <f t="shared" si="2"/>
        <v>46059</v>
      </c>
      <c r="EK5" s="25">
        <f t="shared" si="2"/>
        <v>46060</v>
      </c>
      <c r="EL5" s="25">
        <f t="shared" si="2"/>
        <v>46062</v>
      </c>
      <c r="EM5" s="25">
        <f t="shared" si="2"/>
        <v>46063</v>
      </c>
      <c r="EN5" s="25">
        <f t="shared" si="2"/>
        <v>46064</v>
      </c>
      <c r="EO5" s="25">
        <f t="shared" si="2"/>
        <v>46065</v>
      </c>
      <c r="EP5" s="25">
        <f t="shared" si="2"/>
        <v>46066</v>
      </c>
      <c r="EQ5" s="25">
        <f t="shared" si="2"/>
        <v>46067</v>
      </c>
      <c r="ER5" s="25">
        <f t="shared" si="2"/>
        <v>46069</v>
      </c>
      <c r="ES5" s="25">
        <f t="shared" si="2"/>
        <v>46070</v>
      </c>
      <c r="ET5" s="25">
        <f t="shared" si="2"/>
        <v>46071</v>
      </c>
      <c r="EU5" s="25">
        <f t="shared" si="2"/>
        <v>46072</v>
      </c>
      <c r="EV5" s="25">
        <f t="shared" si="2"/>
        <v>46073</v>
      </c>
      <c r="EW5" s="25">
        <f t="shared" si="2"/>
        <v>46074</v>
      </c>
      <c r="EX5" s="25">
        <f t="shared" si="2"/>
        <v>46076</v>
      </c>
      <c r="EY5" s="25">
        <f t="shared" si="2"/>
        <v>46077</v>
      </c>
      <c r="EZ5" s="25">
        <f t="shared" si="2"/>
        <v>46078</v>
      </c>
      <c r="FA5" s="25">
        <f t="shared" si="2"/>
        <v>46079</v>
      </c>
      <c r="FB5" s="25">
        <f t="shared" si="2"/>
        <v>46080</v>
      </c>
      <c r="FC5" s="25">
        <f t="shared" si="2"/>
        <v>46081</v>
      </c>
      <c r="FD5" s="25">
        <f t="shared" si="2"/>
        <v>46083</v>
      </c>
      <c r="FE5" s="25">
        <f t="shared" si="2"/>
        <v>46084</v>
      </c>
      <c r="FF5" s="25">
        <f t="shared" si="2"/>
        <v>46085</v>
      </c>
      <c r="FG5" s="25">
        <f t="shared" si="2"/>
        <v>46086</v>
      </c>
      <c r="FH5" s="25">
        <f t="shared" si="2"/>
        <v>46087</v>
      </c>
      <c r="FI5" s="25">
        <f t="shared" si="2"/>
        <v>46088</v>
      </c>
      <c r="FJ5" s="25">
        <f t="shared" si="2"/>
        <v>46090</v>
      </c>
      <c r="FK5" s="25">
        <f t="shared" si="2"/>
        <v>46091</v>
      </c>
      <c r="FL5" s="25">
        <f t="shared" si="2"/>
        <v>46092</v>
      </c>
      <c r="FM5" s="25">
        <f t="shared" si="2"/>
        <v>46093</v>
      </c>
      <c r="FN5" s="25">
        <f t="shared" si="2"/>
        <v>46094</v>
      </c>
      <c r="FO5" s="25">
        <f t="shared" si="2"/>
        <v>46095</v>
      </c>
      <c r="FP5" s="33">
        <f>+FJ5+7</f>
        <v>46097</v>
      </c>
      <c r="FQ5" s="33">
        <f t="shared" si="2"/>
        <v>46098</v>
      </c>
      <c r="FR5" s="33">
        <f t="shared" si="2"/>
        <v>46099</v>
      </c>
      <c r="FS5" s="33">
        <f t="shared" si="2"/>
        <v>46100</v>
      </c>
      <c r="FT5" s="33">
        <f t="shared" si="2"/>
        <v>46101</v>
      </c>
      <c r="FU5" s="33">
        <f t="shared" si="2"/>
        <v>46102</v>
      </c>
      <c r="FV5" s="25">
        <f t="shared" si="2"/>
        <v>46104</v>
      </c>
      <c r="FW5" s="25">
        <f t="shared" si="2"/>
        <v>46105</v>
      </c>
      <c r="FX5" s="25">
        <f t="shared" si="2"/>
        <v>46106</v>
      </c>
      <c r="FY5" s="25">
        <f t="shared" si="2"/>
        <v>46107</v>
      </c>
      <c r="FZ5" s="25">
        <f t="shared" si="2"/>
        <v>46108</v>
      </c>
      <c r="GA5" s="25">
        <f t="shared" si="2"/>
        <v>46109</v>
      </c>
      <c r="GB5" s="35">
        <f t="shared" si="2"/>
        <v>46111</v>
      </c>
      <c r="GC5" s="35">
        <f t="shared" si="2"/>
        <v>46112</v>
      </c>
      <c r="GD5" s="35">
        <f t="shared" si="2"/>
        <v>46113</v>
      </c>
      <c r="GE5" s="35">
        <f t="shared" si="2"/>
        <v>46114</v>
      </c>
      <c r="GF5" s="35">
        <f t="shared" si="2"/>
        <v>46115</v>
      </c>
      <c r="GG5" s="35">
        <f t="shared" si="2"/>
        <v>46116</v>
      </c>
      <c r="GH5" s="25">
        <f t="shared" si="2"/>
        <v>46118</v>
      </c>
      <c r="GI5" s="25">
        <f t="shared" si="2"/>
        <v>46119</v>
      </c>
      <c r="GJ5" s="25">
        <f t="shared" si="2"/>
        <v>46120</v>
      </c>
      <c r="GK5" s="25">
        <f t="shared" si="2"/>
        <v>46121</v>
      </c>
      <c r="GL5" s="25">
        <f t="shared" si="2"/>
        <v>46122</v>
      </c>
      <c r="GM5" s="25">
        <f t="shared" si="2"/>
        <v>46123</v>
      </c>
      <c r="GN5" s="25">
        <f t="shared" si="2"/>
        <v>46125</v>
      </c>
      <c r="GO5" s="25">
        <f t="shared" si="2"/>
        <v>46126</v>
      </c>
      <c r="GP5" s="25">
        <f t="shared" si="2"/>
        <v>46127</v>
      </c>
      <c r="GQ5" s="25">
        <f t="shared" si="2"/>
        <v>46128</v>
      </c>
      <c r="GR5" s="25">
        <f t="shared" si="2"/>
        <v>46129</v>
      </c>
      <c r="GS5" s="25">
        <f t="shared" si="2"/>
        <v>46130</v>
      </c>
      <c r="GT5" s="25">
        <f t="shared" si="2"/>
        <v>46132</v>
      </c>
      <c r="GU5" s="25">
        <f t="shared" ref="GU5:JF5" si="3">+GO5+7</f>
        <v>46133</v>
      </c>
      <c r="GV5" s="25">
        <f t="shared" si="3"/>
        <v>46134</v>
      </c>
      <c r="GW5" s="25">
        <f t="shared" si="3"/>
        <v>46135</v>
      </c>
      <c r="GX5" s="25">
        <f t="shared" si="3"/>
        <v>46136</v>
      </c>
      <c r="GY5" s="25">
        <f t="shared" si="3"/>
        <v>46137</v>
      </c>
      <c r="GZ5" s="25">
        <f t="shared" si="3"/>
        <v>46139</v>
      </c>
      <c r="HA5" s="25">
        <f t="shared" si="3"/>
        <v>46140</v>
      </c>
      <c r="HB5" s="25">
        <f t="shared" si="3"/>
        <v>46141</v>
      </c>
      <c r="HC5" s="25">
        <f t="shared" si="3"/>
        <v>46142</v>
      </c>
      <c r="HD5" s="28">
        <f t="shared" si="3"/>
        <v>46143</v>
      </c>
      <c r="HE5" s="25">
        <f t="shared" si="3"/>
        <v>46144</v>
      </c>
      <c r="HF5" s="33">
        <f t="shared" si="3"/>
        <v>46146</v>
      </c>
      <c r="HG5" s="33">
        <f t="shared" si="3"/>
        <v>46147</v>
      </c>
      <c r="HH5" s="33">
        <f t="shared" si="3"/>
        <v>46148</v>
      </c>
      <c r="HI5" s="33">
        <f t="shared" si="3"/>
        <v>46149</v>
      </c>
      <c r="HJ5" s="33">
        <f t="shared" si="3"/>
        <v>46150</v>
      </c>
      <c r="HK5" s="33">
        <f t="shared" si="3"/>
        <v>46151</v>
      </c>
      <c r="HL5" s="25">
        <f t="shared" si="3"/>
        <v>46153</v>
      </c>
      <c r="HM5" s="25">
        <f t="shared" si="3"/>
        <v>46154</v>
      </c>
      <c r="HN5" s="25">
        <f t="shared" si="3"/>
        <v>46155</v>
      </c>
      <c r="HO5" s="25">
        <f t="shared" si="3"/>
        <v>46156</v>
      </c>
      <c r="HP5" s="25">
        <f t="shared" si="3"/>
        <v>46157</v>
      </c>
      <c r="HQ5" s="25">
        <f t="shared" si="3"/>
        <v>46158</v>
      </c>
      <c r="HR5" s="25">
        <f t="shared" si="3"/>
        <v>46160</v>
      </c>
      <c r="HS5" s="25">
        <f t="shared" si="3"/>
        <v>46161</v>
      </c>
      <c r="HT5" s="25">
        <f t="shared" si="3"/>
        <v>46162</v>
      </c>
      <c r="HU5" s="25">
        <f t="shared" si="3"/>
        <v>46163</v>
      </c>
      <c r="HV5" s="25">
        <f t="shared" si="3"/>
        <v>46164</v>
      </c>
      <c r="HW5" s="25">
        <f t="shared" si="3"/>
        <v>46165</v>
      </c>
      <c r="HX5" s="25">
        <f t="shared" si="3"/>
        <v>46167</v>
      </c>
      <c r="HY5" s="25">
        <f t="shared" si="3"/>
        <v>46168</v>
      </c>
      <c r="HZ5" s="28">
        <f t="shared" si="3"/>
        <v>46169</v>
      </c>
      <c r="IA5" s="28">
        <f t="shared" si="3"/>
        <v>46170</v>
      </c>
      <c r="IB5" s="28">
        <f t="shared" si="3"/>
        <v>46171</v>
      </c>
      <c r="IC5" s="25">
        <f t="shared" si="3"/>
        <v>46172</v>
      </c>
      <c r="ID5" s="25">
        <f t="shared" si="3"/>
        <v>46174</v>
      </c>
      <c r="IE5" s="25">
        <f t="shared" si="3"/>
        <v>46175</v>
      </c>
      <c r="IF5" s="25">
        <f t="shared" si="3"/>
        <v>46176</v>
      </c>
      <c r="IG5" s="25">
        <f t="shared" si="3"/>
        <v>46177</v>
      </c>
      <c r="IH5" s="25">
        <f t="shared" si="3"/>
        <v>46178</v>
      </c>
      <c r="II5" s="25">
        <f t="shared" si="3"/>
        <v>46179</v>
      </c>
      <c r="IJ5" s="25">
        <f t="shared" si="3"/>
        <v>46181</v>
      </c>
      <c r="IK5" s="25">
        <f t="shared" si="3"/>
        <v>46182</v>
      </c>
      <c r="IL5" s="25">
        <f t="shared" si="3"/>
        <v>46183</v>
      </c>
      <c r="IM5" s="25">
        <f t="shared" si="3"/>
        <v>46184</v>
      </c>
      <c r="IN5" s="25">
        <f t="shared" si="3"/>
        <v>46185</v>
      </c>
      <c r="IO5" s="25">
        <f t="shared" si="3"/>
        <v>46186</v>
      </c>
      <c r="IP5" s="25">
        <f t="shared" si="3"/>
        <v>46188</v>
      </c>
      <c r="IQ5" s="28">
        <f t="shared" si="3"/>
        <v>46189</v>
      </c>
      <c r="IR5" s="25">
        <f t="shared" si="3"/>
        <v>46190</v>
      </c>
      <c r="IS5" s="25">
        <f t="shared" si="3"/>
        <v>46191</v>
      </c>
      <c r="IT5" s="25">
        <f t="shared" si="3"/>
        <v>46192</v>
      </c>
      <c r="IU5" s="25">
        <f t="shared" si="3"/>
        <v>46193</v>
      </c>
      <c r="IV5" s="25">
        <f t="shared" si="3"/>
        <v>46195</v>
      </c>
      <c r="IW5" s="25">
        <f t="shared" si="3"/>
        <v>46196</v>
      </c>
      <c r="IX5" s="25">
        <f t="shared" si="3"/>
        <v>46197</v>
      </c>
      <c r="IY5" s="25">
        <f t="shared" si="3"/>
        <v>46198</v>
      </c>
      <c r="IZ5" s="25">
        <f t="shared" si="3"/>
        <v>46199</v>
      </c>
      <c r="JA5" s="25">
        <f t="shared" si="3"/>
        <v>46200</v>
      </c>
      <c r="JB5" s="25">
        <f t="shared" si="3"/>
        <v>46202</v>
      </c>
      <c r="JC5" s="25">
        <f t="shared" si="3"/>
        <v>46203</v>
      </c>
      <c r="JD5" s="25">
        <f t="shared" si="3"/>
        <v>46204</v>
      </c>
      <c r="JE5" s="25">
        <f t="shared" si="3"/>
        <v>46205</v>
      </c>
      <c r="JF5" s="25">
        <f t="shared" si="3"/>
        <v>46206</v>
      </c>
      <c r="JG5" s="25">
        <f t="shared" ref="JG5:JM5" si="4">+JA5+7</f>
        <v>46207</v>
      </c>
      <c r="JH5" s="35">
        <f t="shared" si="4"/>
        <v>46209</v>
      </c>
      <c r="JI5" s="35">
        <f t="shared" si="4"/>
        <v>46210</v>
      </c>
      <c r="JJ5" s="35">
        <f t="shared" si="4"/>
        <v>46211</v>
      </c>
      <c r="JK5" s="35">
        <f t="shared" si="4"/>
        <v>46212</v>
      </c>
      <c r="JL5" s="35">
        <f t="shared" si="4"/>
        <v>46213</v>
      </c>
      <c r="JM5" s="35">
        <f t="shared" si="4"/>
        <v>46214</v>
      </c>
      <c r="JN5" s="25">
        <f t="shared" ref="JN5" si="5">+JH5+7</f>
        <v>46216</v>
      </c>
      <c r="JO5" s="25">
        <f t="shared" ref="JO5" si="6">+JI5+7</f>
        <v>46217</v>
      </c>
      <c r="JP5" s="25">
        <f t="shared" ref="JP5" si="7">+JJ5+7</f>
        <v>46218</v>
      </c>
      <c r="JQ5" s="25">
        <f t="shared" ref="JQ5" si="8">+JK5+7</f>
        <v>46219</v>
      </c>
      <c r="JR5" s="25">
        <f t="shared" ref="JR5" si="9">+JL5+7</f>
        <v>46220</v>
      </c>
      <c r="JS5" s="25">
        <f t="shared" ref="JS5" si="10">+JM5+7</f>
        <v>46221</v>
      </c>
      <c r="JT5" s="50"/>
      <c r="JU5" s="45"/>
      <c r="JV5" s="45"/>
      <c r="JW5" s="45"/>
      <c r="JX5" s="45"/>
      <c r="JY5" s="53"/>
      <c r="JZ5" s="45"/>
      <c r="KA5" s="63"/>
    </row>
    <row r="6" spans="1:287" ht="18.75" x14ac:dyDescent="0.25">
      <c r="A6" s="16" t="s">
        <v>34</v>
      </c>
      <c r="B6" s="17" t="s">
        <v>14</v>
      </c>
      <c r="C6" s="18">
        <f t="shared" ref="C6:C18" si="11">JZ6</f>
        <v>3.5714285714285712E-2</v>
      </c>
      <c r="D6" s="26"/>
      <c r="E6" s="26"/>
      <c r="F6" s="26"/>
      <c r="G6" s="29" t="s">
        <v>15</v>
      </c>
      <c r="H6" s="29" t="s">
        <v>15</v>
      </c>
      <c r="I6" s="26"/>
      <c r="J6" s="26"/>
      <c r="K6" s="26"/>
      <c r="L6" s="26"/>
      <c r="M6" s="26"/>
      <c r="N6" s="26">
        <v>1</v>
      </c>
      <c r="O6" s="26">
        <v>1</v>
      </c>
      <c r="P6" s="27">
        <v>1</v>
      </c>
      <c r="Q6" s="26">
        <v>1</v>
      </c>
      <c r="R6" s="26">
        <v>1</v>
      </c>
      <c r="S6" s="26">
        <v>1</v>
      </c>
      <c r="T6" s="26">
        <v>1</v>
      </c>
      <c r="U6" s="26">
        <v>1</v>
      </c>
      <c r="V6" s="26">
        <v>1</v>
      </c>
      <c r="W6" s="26">
        <v>1</v>
      </c>
      <c r="X6" s="26">
        <v>1</v>
      </c>
      <c r="Y6" s="26">
        <v>1</v>
      </c>
      <c r="Z6" s="26">
        <v>1</v>
      </c>
      <c r="AA6" s="26">
        <v>1</v>
      </c>
      <c r="AB6" s="26">
        <v>1</v>
      </c>
      <c r="AC6" s="26">
        <v>1</v>
      </c>
      <c r="AD6" s="26">
        <v>1</v>
      </c>
      <c r="AE6" s="26">
        <v>1</v>
      </c>
      <c r="AF6" s="26">
        <v>1</v>
      </c>
      <c r="AG6" s="26">
        <v>1</v>
      </c>
      <c r="AH6" s="26">
        <v>1</v>
      </c>
      <c r="AI6" s="26">
        <v>1</v>
      </c>
      <c r="AJ6" s="26">
        <v>1</v>
      </c>
      <c r="AK6" s="26">
        <v>1</v>
      </c>
      <c r="AL6" s="26">
        <v>1</v>
      </c>
      <c r="AM6" s="26">
        <v>1</v>
      </c>
      <c r="AN6" s="26">
        <v>1</v>
      </c>
      <c r="AO6" s="26">
        <v>1</v>
      </c>
      <c r="AP6" s="26">
        <v>1</v>
      </c>
      <c r="AQ6" s="26">
        <v>1</v>
      </c>
      <c r="AR6" s="26">
        <v>1</v>
      </c>
      <c r="AS6" s="26">
        <v>1</v>
      </c>
      <c r="AT6" s="26">
        <v>1</v>
      </c>
      <c r="AU6" s="26">
        <v>1</v>
      </c>
      <c r="AV6" s="26">
        <v>1</v>
      </c>
      <c r="AW6" s="26">
        <v>1</v>
      </c>
      <c r="AX6" s="26">
        <v>1</v>
      </c>
      <c r="AY6" s="26">
        <v>1</v>
      </c>
      <c r="AZ6" s="26">
        <v>1</v>
      </c>
      <c r="BA6" s="26">
        <v>1</v>
      </c>
      <c r="BB6" s="26">
        <v>1</v>
      </c>
      <c r="BC6" s="26">
        <v>1</v>
      </c>
      <c r="BD6" s="26">
        <v>1</v>
      </c>
      <c r="BE6" s="26">
        <v>1</v>
      </c>
      <c r="BF6" s="26">
        <v>1</v>
      </c>
      <c r="BG6" s="26">
        <v>1</v>
      </c>
      <c r="BH6" s="26">
        <v>1</v>
      </c>
      <c r="BI6" s="29" t="s">
        <v>16</v>
      </c>
      <c r="BJ6" s="26">
        <v>1</v>
      </c>
      <c r="BK6" s="26">
        <v>1</v>
      </c>
      <c r="BL6" s="26">
        <v>1</v>
      </c>
      <c r="BM6" s="26">
        <v>1</v>
      </c>
      <c r="BN6" s="26">
        <v>1</v>
      </c>
      <c r="BO6" s="26">
        <v>1</v>
      </c>
      <c r="BP6" s="26">
        <v>1</v>
      </c>
      <c r="BQ6" s="26">
        <v>1</v>
      </c>
      <c r="BR6" s="26">
        <v>1</v>
      </c>
      <c r="BS6" s="29" t="s">
        <v>17</v>
      </c>
      <c r="BT6" s="26">
        <v>1</v>
      </c>
      <c r="BU6" s="26">
        <v>1</v>
      </c>
      <c r="BV6" s="26">
        <v>1</v>
      </c>
      <c r="BW6" s="26">
        <v>1</v>
      </c>
      <c r="BX6" s="26">
        <v>1</v>
      </c>
      <c r="BY6" s="26">
        <v>1</v>
      </c>
      <c r="BZ6" s="26">
        <v>1</v>
      </c>
      <c r="CA6" s="26">
        <v>1</v>
      </c>
      <c r="CB6" s="26">
        <v>1</v>
      </c>
      <c r="CC6" s="26">
        <v>1</v>
      </c>
      <c r="CD6" s="36">
        <v>1</v>
      </c>
      <c r="CE6" s="36">
        <v>1</v>
      </c>
      <c r="CF6" s="36">
        <v>1</v>
      </c>
      <c r="CG6" s="36">
        <v>1</v>
      </c>
      <c r="CH6" s="36">
        <v>1</v>
      </c>
      <c r="CI6" s="36">
        <v>1</v>
      </c>
      <c r="CJ6" s="34" t="s">
        <v>18</v>
      </c>
      <c r="CK6" s="34" t="s">
        <v>18</v>
      </c>
      <c r="CL6" s="34" t="s">
        <v>18</v>
      </c>
      <c r="CM6" s="34" t="s">
        <v>18</v>
      </c>
      <c r="CN6" s="34" t="s">
        <v>18</v>
      </c>
      <c r="CO6" s="34" t="s">
        <v>18</v>
      </c>
      <c r="CP6" s="26">
        <v>1</v>
      </c>
      <c r="CQ6" s="26">
        <v>1</v>
      </c>
      <c r="CR6" s="26">
        <v>1</v>
      </c>
      <c r="CS6" s="26">
        <v>1</v>
      </c>
      <c r="CT6" s="26">
        <v>1</v>
      </c>
      <c r="CU6" s="26">
        <v>1</v>
      </c>
      <c r="CV6" s="26">
        <v>1</v>
      </c>
      <c r="CW6" s="26">
        <v>1</v>
      </c>
      <c r="CX6" s="26">
        <v>1</v>
      </c>
      <c r="CY6" s="26">
        <v>1</v>
      </c>
      <c r="CZ6" s="26">
        <v>1</v>
      </c>
      <c r="DA6" s="26">
        <v>1</v>
      </c>
      <c r="DB6" s="26">
        <v>1</v>
      </c>
      <c r="DC6" s="26">
        <v>1</v>
      </c>
      <c r="DD6" s="27">
        <v>1</v>
      </c>
      <c r="DE6" s="29" t="s">
        <v>30</v>
      </c>
      <c r="DF6" s="26">
        <v>1</v>
      </c>
      <c r="DG6" s="26">
        <v>1</v>
      </c>
      <c r="DH6" s="26">
        <v>1</v>
      </c>
      <c r="DI6" s="26">
        <v>1</v>
      </c>
      <c r="DJ6" s="26">
        <v>1</v>
      </c>
      <c r="DK6" s="26">
        <v>1</v>
      </c>
      <c r="DL6" s="26">
        <v>1</v>
      </c>
      <c r="DM6" s="27">
        <v>1</v>
      </c>
      <c r="DN6" s="26">
        <v>1</v>
      </c>
      <c r="DO6" s="26">
        <v>1</v>
      </c>
      <c r="DP6" s="29" t="s">
        <v>45</v>
      </c>
      <c r="DQ6" s="26">
        <v>1</v>
      </c>
      <c r="DR6" s="26">
        <v>1</v>
      </c>
      <c r="DS6" s="26">
        <v>1</v>
      </c>
      <c r="DT6" s="26">
        <v>1</v>
      </c>
      <c r="DU6" s="26">
        <v>1</v>
      </c>
      <c r="DV6" s="26">
        <v>1</v>
      </c>
      <c r="DW6" s="26">
        <v>1</v>
      </c>
      <c r="DX6" s="26">
        <v>1</v>
      </c>
      <c r="DY6" s="26">
        <v>1</v>
      </c>
      <c r="DZ6" s="31" t="s">
        <v>19</v>
      </c>
      <c r="EA6" s="31" t="s">
        <v>19</v>
      </c>
      <c r="EB6" s="31" t="s">
        <v>19</v>
      </c>
      <c r="EC6" s="31" t="s">
        <v>19</v>
      </c>
      <c r="ED6" s="31" t="s">
        <v>19</v>
      </c>
      <c r="EE6" s="31" t="s">
        <v>19</v>
      </c>
      <c r="EF6" s="26">
        <v>1</v>
      </c>
      <c r="EG6" s="26">
        <v>1</v>
      </c>
      <c r="EH6" s="26">
        <v>1</v>
      </c>
      <c r="EI6" s="26">
        <v>1</v>
      </c>
      <c r="EJ6" s="26">
        <v>1</v>
      </c>
      <c r="EK6" s="26">
        <v>1</v>
      </c>
      <c r="EL6" s="26">
        <v>1</v>
      </c>
      <c r="EM6" s="26">
        <v>1</v>
      </c>
      <c r="EN6" s="26">
        <v>1</v>
      </c>
      <c r="EO6" s="26">
        <v>1</v>
      </c>
      <c r="EP6" s="26">
        <v>1</v>
      </c>
      <c r="EQ6" s="26">
        <v>1</v>
      </c>
      <c r="ER6" s="26">
        <v>1</v>
      </c>
      <c r="ES6" s="26">
        <v>1</v>
      </c>
      <c r="ET6" s="26">
        <v>1</v>
      </c>
      <c r="EU6" s="26">
        <v>1</v>
      </c>
      <c r="EV6" s="26">
        <v>1</v>
      </c>
      <c r="EW6" s="26">
        <v>1</v>
      </c>
      <c r="EX6" s="26">
        <v>1</v>
      </c>
      <c r="EY6" s="26">
        <v>1</v>
      </c>
      <c r="EZ6" s="26">
        <v>1</v>
      </c>
      <c r="FA6" s="26">
        <v>1</v>
      </c>
      <c r="FB6" s="26">
        <v>1</v>
      </c>
      <c r="FC6" s="26">
        <v>1</v>
      </c>
      <c r="FD6" s="26">
        <v>1</v>
      </c>
      <c r="FE6" s="26">
        <v>1</v>
      </c>
      <c r="FF6" s="26">
        <v>1</v>
      </c>
      <c r="FG6" s="26">
        <v>1</v>
      </c>
      <c r="FH6" s="26">
        <v>1</v>
      </c>
      <c r="FI6" s="26">
        <v>1</v>
      </c>
      <c r="FJ6" s="26">
        <v>1</v>
      </c>
      <c r="FK6" s="26">
        <v>1</v>
      </c>
      <c r="FL6" s="26">
        <v>1</v>
      </c>
      <c r="FM6" s="26">
        <v>1</v>
      </c>
      <c r="FN6" s="26">
        <v>1</v>
      </c>
      <c r="FO6" s="26">
        <v>1</v>
      </c>
      <c r="FP6" s="34" t="s">
        <v>20</v>
      </c>
      <c r="FQ6" s="34" t="s">
        <v>20</v>
      </c>
      <c r="FR6" s="34" t="s">
        <v>20</v>
      </c>
      <c r="FS6" s="34" t="s">
        <v>20</v>
      </c>
      <c r="FT6" s="34" t="s">
        <v>20</v>
      </c>
      <c r="FU6" s="34" t="s">
        <v>20</v>
      </c>
      <c r="FV6" s="73">
        <v>1</v>
      </c>
      <c r="FW6" s="73">
        <v>1</v>
      </c>
      <c r="FX6" s="26">
        <v>1</v>
      </c>
      <c r="FY6" s="26">
        <v>1</v>
      </c>
      <c r="FZ6" s="26">
        <v>1</v>
      </c>
      <c r="GA6" s="26">
        <v>1</v>
      </c>
      <c r="GB6" s="71">
        <v>1</v>
      </c>
      <c r="GC6" s="71">
        <v>1</v>
      </c>
      <c r="GD6" s="71">
        <v>1</v>
      </c>
      <c r="GE6" s="36">
        <v>1</v>
      </c>
      <c r="GF6" s="36">
        <v>1</v>
      </c>
      <c r="GG6" s="36">
        <v>1</v>
      </c>
      <c r="GH6" s="26">
        <v>1</v>
      </c>
      <c r="GI6" s="26">
        <v>1</v>
      </c>
      <c r="GJ6" s="26">
        <v>1</v>
      </c>
      <c r="GK6" s="26">
        <v>1</v>
      </c>
      <c r="GL6" s="26">
        <v>1</v>
      </c>
      <c r="GM6" s="26">
        <v>1</v>
      </c>
      <c r="GN6" s="26">
        <v>1</v>
      </c>
      <c r="GO6" s="26">
        <v>1</v>
      </c>
      <c r="GP6" s="26">
        <v>1</v>
      </c>
      <c r="GQ6" s="26">
        <v>1</v>
      </c>
      <c r="GR6" s="26">
        <v>1</v>
      </c>
      <c r="GS6" s="26">
        <v>1</v>
      </c>
      <c r="GT6" s="26">
        <v>1</v>
      </c>
      <c r="GU6" s="26">
        <v>1</v>
      </c>
      <c r="GV6" s="26">
        <v>1</v>
      </c>
      <c r="GW6" s="26">
        <v>1</v>
      </c>
      <c r="GX6" s="26">
        <v>1</v>
      </c>
      <c r="GY6" s="26">
        <v>1</v>
      </c>
      <c r="GZ6" s="26">
        <v>1</v>
      </c>
      <c r="HA6" s="26">
        <v>1</v>
      </c>
      <c r="HB6" s="26">
        <v>1</v>
      </c>
      <c r="HC6" s="27">
        <v>1</v>
      </c>
      <c r="HD6" s="29" t="s">
        <v>46</v>
      </c>
      <c r="HE6" s="26">
        <v>1</v>
      </c>
      <c r="HF6" s="34" t="s">
        <v>49</v>
      </c>
      <c r="HG6" s="34" t="s">
        <v>49</v>
      </c>
      <c r="HH6" s="34" t="s">
        <v>49</v>
      </c>
      <c r="HI6" s="34" t="s">
        <v>49</v>
      </c>
      <c r="HJ6" s="34" t="s">
        <v>49</v>
      </c>
      <c r="HK6" s="34" t="s">
        <v>49</v>
      </c>
      <c r="HL6" s="26">
        <v>1</v>
      </c>
      <c r="HM6" s="26">
        <v>1</v>
      </c>
      <c r="HN6" s="26">
        <v>1</v>
      </c>
      <c r="HO6" s="26">
        <v>1</v>
      </c>
      <c r="HP6" s="26">
        <v>1</v>
      </c>
      <c r="HQ6" s="26">
        <v>1</v>
      </c>
      <c r="HR6" s="26">
        <v>1</v>
      </c>
      <c r="HS6" s="26">
        <v>1</v>
      </c>
      <c r="HT6" s="26">
        <v>1</v>
      </c>
      <c r="HU6" s="26">
        <v>1</v>
      </c>
      <c r="HV6" s="26">
        <v>1</v>
      </c>
      <c r="HW6" s="26">
        <v>1</v>
      </c>
      <c r="HX6" s="26">
        <v>1</v>
      </c>
      <c r="HY6" s="26">
        <v>1</v>
      </c>
      <c r="HZ6" s="29" t="s">
        <v>22</v>
      </c>
      <c r="IA6" s="29" t="s">
        <v>22</v>
      </c>
      <c r="IB6" s="29" t="s">
        <v>22</v>
      </c>
      <c r="IC6" s="26">
        <v>1</v>
      </c>
      <c r="ID6" s="26">
        <v>1</v>
      </c>
      <c r="IE6" s="26">
        <v>1</v>
      </c>
      <c r="IF6" s="3" t="s">
        <v>21</v>
      </c>
      <c r="IG6" s="3" t="s">
        <v>21</v>
      </c>
      <c r="IH6" s="3" t="s">
        <v>21</v>
      </c>
      <c r="II6" s="3" t="s">
        <v>21</v>
      </c>
      <c r="IJ6" s="3" t="s">
        <v>21</v>
      </c>
      <c r="IK6" s="3" t="s">
        <v>21</v>
      </c>
      <c r="IL6" s="3" t="s">
        <v>21</v>
      </c>
      <c r="IM6" s="3" t="s">
        <v>21</v>
      </c>
      <c r="IN6" s="3" t="s">
        <v>21</v>
      </c>
      <c r="IO6" s="26">
        <v>1</v>
      </c>
      <c r="IP6" s="26">
        <v>1</v>
      </c>
      <c r="IQ6" s="29" t="s">
        <v>47</v>
      </c>
      <c r="IR6" s="26">
        <v>1</v>
      </c>
      <c r="IS6" s="26">
        <v>1</v>
      </c>
      <c r="IT6" s="26">
        <v>1</v>
      </c>
      <c r="IU6" s="26">
        <v>1</v>
      </c>
      <c r="IV6" s="26">
        <v>1</v>
      </c>
      <c r="IW6" s="26">
        <v>1</v>
      </c>
      <c r="IX6" s="26">
        <v>1</v>
      </c>
      <c r="IY6" s="26">
        <v>1</v>
      </c>
      <c r="IZ6" s="26">
        <v>1</v>
      </c>
      <c r="JA6" s="26">
        <v>1</v>
      </c>
      <c r="JB6" s="26">
        <v>1</v>
      </c>
      <c r="JC6" s="26">
        <v>1</v>
      </c>
      <c r="JD6" s="26">
        <v>1</v>
      </c>
      <c r="JE6" s="26">
        <v>1</v>
      </c>
      <c r="JF6" s="26">
        <v>1</v>
      </c>
      <c r="JG6" s="26">
        <v>1</v>
      </c>
      <c r="JH6" s="36">
        <v>1</v>
      </c>
      <c r="JI6" s="36">
        <v>1</v>
      </c>
      <c r="JJ6" s="36">
        <v>1</v>
      </c>
      <c r="JK6" s="36">
        <v>1</v>
      </c>
      <c r="JL6" s="36">
        <v>1</v>
      </c>
      <c r="JM6" s="36">
        <v>1</v>
      </c>
      <c r="JN6" s="26">
        <v>1</v>
      </c>
      <c r="JO6" s="26">
        <v>1</v>
      </c>
      <c r="JP6" s="26">
        <v>1</v>
      </c>
      <c r="JQ6" s="26">
        <v>1</v>
      </c>
      <c r="JR6" s="26">
        <v>1</v>
      </c>
      <c r="JS6" s="26">
        <v>1</v>
      </c>
      <c r="JT6" s="17">
        <f>SUMIF(E6:JS6,1)</f>
        <v>224</v>
      </c>
      <c r="JU6" s="17">
        <f>+COUNTIF(E6:IO6,"ST")</f>
        <v>0</v>
      </c>
      <c r="JV6" s="17">
        <f>COUNTIF(E6:IO6,"VAC")</f>
        <v>0</v>
      </c>
      <c r="JW6" s="19">
        <f t="shared" ref="JW6:JW20" si="12">JT6/6</f>
        <v>37.333333333333336</v>
      </c>
      <c r="JX6" s="17"/>
      <c r="JY6" s="17">
        <f>COUNTIF(D6:U6,1)</f>
        <v>8</v>
      </c>
      <c r="JZ6" s="18">
        <f>JY6/JT6</f>
        <v>3.5714285714285712E-2</v>
      </c>
      <c r="KA6" s="16" t="s">
        <v>34</v>
      </c>
    </row>
    <row r="7" spans="1:287" ht="18.75" x14ac:dyDescent="0.25">
      <c r="A7" s="16" t="s">
        <v>35</v>
      </c>
      <c r="B7" s="17" t="s">
        <v>23</v>
      </c>
      <c r="C7" s="18">
        <f t="shared" si="11"/>
        <v>4.878048780487805E-2</v>
      </c>
      <c r="D7" s="26"/>
      <c r="E7" s="26"/>
      <c r="F7" s="26"/>
      <c r="G7" s="29" t="s">
        <v>15</v>
      </c>
      <c r="H7" s="29" t="s">
        <v>15</v>
      </c>
      <c r="I7" s="26"/>
      <c r="J7" s="26"/>
      <c r="K7" s="26"/>
      <c r="L7" s="26"/>
      <c r="M7" s="26"/>
      <c r="N7" s="26">
        <v>1</v>
      </c>
      <c r="O7" s="26">
        <v>1</v>
      </c>
      <c r="P7" s="27">
        <v>1</v>
      </c>
      <c r="Q7" s="26">
        <v>1</v>
      </c>
      <c r="R7" s="26">
        <v>1</v>
      </c>
      <c r="S7" s="26">
        <v>1</v>
      </c>
      <c r="T7" s="26">
        <v>1</v>
      </c>
      <c r="U7" s="26">
        <v>1</v>
      </c>
      <c r="V7" s="26">
        <v>1</v>
      </c>
      <c r="W7" s="26">
        <v>1</v>
      </c>
      <c r="X7" s="26">
        <v>1</v>
      </c>
      <c r="Y7" s="26">
        <v>1</v>
      </c>
      <c r="Z7" s="26">
        <v>1</v>
      </c>
      <c r="AA7" s="26">
        <v>1</v>
      </c>
      <c r="AB7" s="26">
        <v>1</v>
      </c>
      <c r="AC7" s="26">
        <v>1</v>
      </c>
      <c r="AD7" s="26">
        <v>1</v>
      </c>
      <c r="AE7" s="26">
        <v>1</v>
      </c>
      <c r="AF7" s="26">
        <v>1</v>
      </c>
      <c r="AG7" s="26">
        <v>1</v>
      </c>
      <c r="AH7" s="26">
        <v>1</v>
      </c>
      <c r="AI7" s="26">
        <v>1</v>
      </c>
      <c r="AJ7" s="26">
        <v>1</v>
      </c>
      <c r="AK7" s="26">
        <v>1</v>
      </c>
      <c r="AL7" s="26">
        <v>1</v>
      </c>
      <c r="AM7" s="26">
        <v>1</v>
      </c>
      <c r="AN7" s="26">
        <v>1</v>
      </c>
      <c r="AO7" s="26">
        <v>1</v>
      </c>
      <c r="AP7" s="26">
        <v>1</v>
      </c>
      <c r="AQ7" s="26">
        <v>1</v>
      </c>
      <c r="AR7" s="26">
        <v>1</v>
      </c>
      <c r="AS7" s="26">
        <v>1</v>
      </c>
      <c r="AT7" s="26">
        <v>1</v>
      </c>
      <c r="AU7" s="26">
        <v>1</v>
      </c>
      <c r="AV7" s="26">
        <v>1</v>
      </c>
      <c r="AW7" s="26">
        <v>1</v>
      </c>
      <c r="AX7" s="26">
        <v>1</v>
      </c>
      <c r="AY7" s="26">
        <v>1</v>
      </c>
      <c r="AZ7" s="26">
        <v>1</v>
      </c>
      <c r="BA7" s="26">
        <v>1</v>
      </c>
      <c r="BB7" s="26">
        <v>1</v>
      </c>
      <c r="BC7" s="26">
        <v>1</v>
      </c>
      <c r="BD7" s="26">
        <v>1</v>
      </c>
      <c r="BE7" s="26">
        <v>1</v>
      </c>
      <c r="BF7" s="26">
        <v>1</v>
      </c>
      <c r="BG7" s="26">
        <v>1</v>
      </c>
      <c r="BH7" s="26">
        <v>1</v>
      </c>
      <c r="BI7" s="29" t="s">
        <v>16</v>
      </c>
      <c r="BJ7" s="26">
        <v>1</v>
      </c>
      <c r="BK7" s="26">
        <v>1</v>
      </c>
      <c r="BL7" s="26">
        <v>1</v>
      </c>
      <c r="BM7" s="26">
        <v>1</v>
      </c>
      <c r="BN7" s="26">
        <v>1</v>
      </c>
      <c r="BO7" s="26">
        <v>1</v>
      </c>
      <c r="BP7" s="26">
        <v>1</v>
      </c>
      <c r="BQ7" s="26">
        <v>1</v>
      </c>
      <c r="BR7" s="26">
        <v>1</v>
      </c>
      <c r="BS7" s="29" t="s">
        <v>17</v>
      </c>
      <c r="BT7" s="26">
        <v>1</v>
      </c>
      <c r="BU7" s="26">
        <v>1</v>
      </c>
      <c r="BV7" s="26">
        <v>1</v>
      </c>
      <c r="BW7" s="26">
        <v>1</v>
      </c>
      <c r="BX7" s="26">
        <v>1</v>
      </c>
      <c r="BY7" s="26">
        <v>1</v>
      </c>
      <c r="BZ7" s="26">
        <v>1</v>
      </c>
      <c r="CA7" s="26">
        <v>1</v>
      </c>
      <c r="CB7" s="26">
        <v>1</v>
      </c>
      <c r="CC7" s="26">
        <v>1</v>
      </c>
      <c r="CD7" s="36">
        <v>1</v>
      </c>
      <c r="CE7" s="36">
        <v>1</v>
      </c>
      <c r="CF7" s="36">
        <v>1</v>
      </c>
      <c r="CG7" s="36">
        <v>1</v>
      </c>
      <c r="CH7" s="36">
        <v>1</v>
      </c>
      <c r="CI7" s="36">
        <v>1</v>
      </c>
      <c r="CJ7" s="34" t="s">
        <v>18</v>
      </c>
      <c r="CK7" s="34" t="s">
        <v>18</v>
      </c>
      <c r="CL7" s="34" t="s">
        <v>18</v>
      </c>
      <c r="CM7" s="34" t="s">
        <v>18</v>
      </c>
      <c r="CN7" s="34" t="s">
        <v>18</v>
      </c>
      <c r="CO7" s="34" t="s">
        <v>18</v>
      </c>
      <c r="CP7" s="26">
        <v>1</v>
      </c>
      <c r="CQ7" s="26">
        <v>1</v>
      </c>
      <c r="CR7" s="26">
        <v>1</v>
      </c>
      <c r="CS7" s="26">
        <v>1</v>
      </c>
      <c r="CT7" s="26">
        <v>1</v>
      </c>
      <c r="CU7" s="26">
        <v>1</v>
      </c>
      <c r="CV7" s="26">
        <v>1</v>
      </c>
      <c r="CW7" s="26">
        <v>1</v>
      </c>
      <c r="CX7" s="26">
        <v>1</v>
      </c>
      <c r="CY7" s="26">
        <v>1</v>
      </c>
      <c r="CZ7" s="26">
        <v>1</v>
      </c>
      <c r="DA7" s="26">
        <v>1</v>
      </c>
      <c r="DB7" s="26">
        <v>1</v>
      </c>
      <c r="DC7" s="26">
        <v>1</v>
      </c>
      <c r="DD7" s="27">
        <v>1</v>
      </c>
      <c r="DE7" s="29" t="s">
        <v>30</v>
      </c>
      <c r="DF7" s="39" t="s">
        <v>24</v>
      </c>
      <c r="DG7" s="39" t="s">
        <v>24</v>
      </c>
      <c r="DH7" s="39" t="s">
        <v>24</v>
      </c>
      <c r="DI7" s="39" t="s">
        <v>24</v>
      </c>
      <c r="DJ7" s="39" t="s">
        <v>24</v>
      </c>
      <c r="DK7" s="39" t="s">
        <v>24</v>
      </c>
      <c r="DL7" s="39" t="s">
        <v>24</v>
      </c>
      <c r="DM7" s="39" t="s">
        <v>24</v>
      </c>
      <c r="DN7" s="39" t="s">
        <v>24</v>
      </c>
      <c r="DO7" s="39" t="s">
        <v>24</v>
      </c>
      <c r="DP7" s="29" t="s">
        <v>45</v>
      </c>
      <c r="DQ7" s="39" t="s">
        <v>24</v>
      </c>
      <c r="DR7" s="39" t="s">
        <v>24</v>
      </c>
      <c r="DS7" s="39" t="s">
        <v>24</v>
      </c>
      <c r="DT7" s="39" t="s">
        <v>24</v>
      </c>
      <c r="DU7" s="39" t="s">
        <v>24</v>
      </c>
      <c r="DV7" s="39" t="s">
        <v>24</v>
      </c>
      <c r="DW7" s="39" t="s">
        <v>24</v>
      </c>
      <c r="DX7" s="39" t="s">
        <v>24</v>
      </c>
      <c r="DY7" s="39" t="s">
        <v>24</v>
      </c>
      <c r="DZ7" s="31" t="s">
        <v>19</v>
      </c>
      <c r="EA7" s="31" t="s">
        <v>19</v>
      </c>
      <c r="EB7" s="31" t="s">
        <v>19</v>
      </c>
      <c r="EC7" s="31" t="s">
        <v>19</v>
      </c>
      <c r="ED7" s="31" t="s">
        <v>19</v>
      </c>
      <c r="EE7" s="31" t="s">
        <v>19</v>
      </c>
      <c r="EF7" s="26">
        <v>1</v>
      </c>
      <c r="EG7" s="26">
        <v>1</v>
      </c>
      <c r="EH7" s="26">
        <v>1</v>
      </c>
      <c r="EI7" s="26">
        <v>1</v>
      </c>
      <c r="EJ7" s="26">
        <v>1</v>
      </c>
      <c r="EK7" s="26">
        <v>1</v>
      </c>
      <c r="EL7" s="26">
        <v>1</v>
      </c>
      <c r="EM7" s="26">
        <v>1</v>
      </c>
      <c r="EN7" s="26">
        <v>1</v>
      </c>
      <c r="EO7" s="26">
        <v>1</v>
      </c>
      <c r="EP7" s="26">
        <v>1</v>
      </c>
      <c r="EQ7" s="26">
        <v>1</v>
      </c>
      <c r="ER7" s="26">
        <v>1</v>
      </c>
      <c r="ES7" s="26">
        <v>1</v>
      </c>
      <c r="ET7" s="26">
        <v>1</v>
      </c>
      <c r="EU7" s="26">
        <v>1</v>
      </c>
      <c r="EV7" s="26">
        <v>1</v>
      </c>
      <c r="EW7" s="26">
        <v>1</v>
      </c>
      <c r="EX7" s="26">
        <v>1</v>
      </c>
      <c r="EY7" s="26">
        <v>1</v>
      </c>
      <c r="EZ7" s="26">
        <v>1</v>
      </c>
      <c r="FA7" s="26">
        <v>1</v>
      </c>
      <c r="FB7" s="26">
        <v>1</v>
      </c>
      <c r="FC7" s="26">
        <v>1</v>
      </c>
      <c r="FD7" s="39" t="s">
        <v>24</v>
      </c>
      <c r="FE7" s="39" t="s">
        <v>24</v>
      </c>
      <c r="FF7" s="39" t="s">
        <v>24</v>
      </c>
      <c r="FG7" s="39" t="s">
        <v>24</v>
      </c>
      <c r="FH7" s="39" t="s">
        <v>24</v>
      </c>
      <c r="FI7" s="39" t="s">
        <v>24</v>
      </c>
      <c r="FJ7" s="39" t="s">
        <v>24</v>
      </c>
      <c r="FK7" s="39" t="s">
        <v>24</v>
      </c>
      <c r="FL7" s="39" t="s">
        <v>24</v>
      </c>
      <c r="FM7" s="39" t="s">
        <v>24</v>
      </c>
      <c r="FN7" s="39" t="s">
        <v>24</v>
      </c>
      <c r="FO7" s="39" t="s">
        <v>24</v>
      </c>
      <c r="FP7" s="39" t="s">
        <v>24</v>
      </c>
      <c r="FQ7" s="39" t="s">
        <v>24</v>
      </c>
      <c r="FR7" s="39" t="s">
        <v>24</v>
      </c>
      <c r="FS7" s="39" t="s">
        <v>24</v>
      </c>
      <c r="FT7" s="39" t="s">
        <v>24</v>
      </c>
      <c r="FU7" s="39" t="s">
        <v>24</v>
      </c>
      <c r="FV7" s="39" t="s">
        <v>24</v>
      </c>
      <c r="FW7" s="39" t="s">
        <v>24</v>
      </c>
      <c r="FX7" s="39" t="s">
        <v>24</v>
      </c>
      <c r="FY7" s="39" t="s">
        <v>24</v>
      </c>
      <c r="FZ7" s="39" t="s">
        <v>24</v>
      </c>
      <c r="GA7" s="39" t="s">
        <v>24</v>
      </c>
      <c r="GB7" s="71">
        <v>1</v>
      </c>
      <c r="GC7" s="71">
        <v>1</v>
      </c>
      <c r="GD7" s="71">
        <v>1</v>
      </c>
      <c r="GE7" s="36">
        <v>1</v>
      </c>
      <c r="GF7" s="36">
        <v>1</v>
      </c>
      <c r="GG7" s="36">
        <v>1</v>
      </c>
      <c r="GH7" s="26">
        <v>1</v>
      </c>
      <c r="GI7" s="26">
        <v>1</v>
      </c>
      <c r="GJ7" s="26">
        <v>1</v>
      </c>
      <c r="GK7" s="26">
        <v>1</v>
      </c>
      <c r="GL7" s="26">
        <v>1</v>
      </c>
      <c r="GM7" s="26">
        <v>1</v>
      </c>
      <c r="GN7" s="26">
        <v>1</v>
      </c>
      <c r="GO7" s="26">
        <v>1</v>
      </c>
      <c r="GP7" s="26">
        <v>1</v>
      </c>
      <c r="GQ7" s="26">
        <v>1</v>
      </c>
      <c r="GR7" s="26">
        <v>1</v>
      </c>
      <c r="GS7" s="26">
        <v>1</v>
      </c>
      <c r="GT7" s="26">
        <v>1</v>
      </c>
      <c r="GU7" s="26">
        <v>1</v>
      </c>
      <c r="GV7" s="26">
        <v>1</v>
      </c>
      <c r="GW7" s="26">
        <v>1</v>
      </c>
      <c r="GX7" s="26">
        <v>1</v>
      </c>
      <c r="GY7" s="26">
        <v>1</v>
      </c>
      <c r="GZ7" s="26">
        <v>1</v>
      </c>
      <c r="HA7" s="26">
        <v>1</v>
      </c>
      <c r="HB7" s="26">
        <v>1</v>
      </c>
      <c r="HC7" s="27">
        <v>1</v>
      </c>
      <c r="HD7" s="29" t="s">
        <v>46</v>
      </c>
      <c r="HE7" s="39" t="s">
        <v>24</v>
      </c>
      <c r="HF7" s="39" t="s">
        <v>24</v>
      </c>
      <c r="HG7" s="39" t="s">
        <v>24</v>
      </c>
      <c r="HH7" s="39" t="s">
        <v>24</v>
      </c>
      <c r="HI7" s="39" t="s">
        <v>24</v>
      </c>
      <c r="HJ7" s="39" t="s">
        <v>24</v>
      </c>
      <c r="HK7" s="39" t="s">
        <v>24</v>
      </c>
      <c r="HL7" s="39" t="s">
        <v>24</v>
      </c>
      <c r="HM7" s="39" t="s">
        <v>24</v>
      </c>
      <c r="HN7" s="39" t="s">
        <v>24</v>
      </c>
      <c r="HO7" s="39" t="s">
        <v>24</v>
      </c>
      <c r="HP7" s="39" t="s">
        <v>24</v>
      </c>
      <c r="HQ7" s="39" t="s">
        <v>24</v>
      </c>
      <c r="HR7" s="39" t="s">
        <v>24</v>
      </c>
      <c r="HS7" s="39" t="s">
        <v>24</v>
      </c>
      <c r="HT7" s="39" t="s">
        <v>24</v>
      </c>
      <c r="HU7" s="39" t="s">
        <v>24</v>
      </c>
      <c r="HV7" s="39" t="s">
        <v>24</v>
      </c>
      <c r="HW7" s="39" t="s">
        <v>24</v>
      </c>
      <c r="HX7" s="39" t="s">
        <v>24</v>
      </c>
      <c r="HY7" s="39" t="s">
        <v>24</v>
      </c>
      <c r="HZ7" s="29" t="s">
        <v>22</v>
      </c>
      <c r="IA7" s="29" t="s">
        <v>22</v>
      </c>
      <c r="IB7" s="29" t="s">
        <v>22</v>
      </c>
      <c r="IC7" s="39" t="s">
        <v>24</v>
      </c>
      <c r="ID7" s="26">
        <v>1</v>
      </c>
      <c r="IE7" s="26">
        <v>1</v>
      </c>
      <c r="IF7" s="3" t="s">
        <v>21</v>
      </c>
      <c r="IG7" s="3" t="s">
        <v>21</v>
      </c>
      <c r="IH7" s="3" t="s">
        <v>21</v>
      </c>
      <c r="II7" s="3" t="s">
        <v>21</v>
      </c>
      <c r="IJ7" s="3" t="s">
        <v>21</v>
      </c>
      <c r="IK7" s="3" t="s">
        <v>21</v>
      </c>
      <c r="IL7" s="3" t="s">
        <v>21</v>
      </c>
      <c r="IM7" s="3" t="s">
        <v>21</v>
      </c>
      <c r="IN7" s="3" t="s">
        <v>21</v>
      </c>
      <c r="IO7" s="26">
        <v>1</v>
      </c>
      <c r="IP7" s="26">
        <v>1</v>
      </c>
      <c r="IQ7" s="29" t="s">
        <v>47</v>
      </c>
      <c r="IR7" s="26">
        <v>1</v>
      </c>
      <c r="IS7" s="26">
        <v>1</v>
      </c>
      <c r="IT7" s="26">
        <v>1</v>
      </c>
      <c r="IU7" s="26">
        <v>1</v>
      </c>
      <c r="IV7" s="26">
        <v>1</v>
      </c>
      <c r="IW7" s="26">
        <v>1</v>
      </c>
      <c r="IX7" s="26">
        <v>1</v>
      </c>
      <c r="IY7" s="26">
        <v>1</v>
      </c>
      <c r="IZ7" s="26">
        <v>1</v>
      </c>
      <c r="JA7" s="26">
        <v>1</v>
      </c>
      <c r="JB7" s="26">
        <v>1</v>
      </c>
      <c r="JC7" s="26">
        <v>1</v>
      </c>
      <c r="JD7" s="26">
        <v>1</v>
      </c>
      <c r="JE7" s="26">
        <v>1</v>
      </c>
      <c r="JF7" s="26">
        <v>1</v>
      </c>
      <c r="JG7" s="26">
        <v>1</v>
      </c>
      <c r="JH7" s="36">
        <v>1</v>
      </c>
      <c r="JI7" s="36">
        <v>1</v>
      </c>
      <c r="JJ7" s="36">
        <v>1</v>
      </c>
      <c r="JK7" s="36">
        <v>1</v>
      </c>
      <c r="JL7" s="36">
        <v>1</v>
      </c>
      <c r="JM7" s="36">
        <v>1</v>
      </c>
      <c r="JN7" s="42">
        <v>1</v>
      </c>
      <c r="JO7" s="42">
        <v>1</v>
      </c>
      <c r="JP7" s="42">
        <v>1</v>
      </c>
      <c r="JQ7" s="42">
        <v>1</v>
      </c>
      <c r="JR7" s="42">
        <v>1</v>
      </c>
      <c r="JS7" s="42">
        <v>1</v>
      </c>
      <c r="JT7" s="17">
        <f>+SUMIF(E7:JL7,1)</f>
        <v>164</v>
      </c>
      <c r="JU7" s="17">
        <f>+COUNTIF(E7:IO7,"ST")</f>
        <v>65</v>
      </c>
      <c r="JV7" s="17">
        <f>COUNTIF(E7:IO7,"VAC")</f>
        <v>0</v>
      </c>
      <c r="JW7" s="19">
        <f t="shared" si="12"/>
        <v>27.333333333333332</v>
      </c>
      <c r="JX7" s="18">
        <f>+JT7/JT6</f>
        <v>0.7321428571428571</v>
      </c>
      <c r="JY7" s="17">
        <f t="shared" ref="JY7:JY20" si="13">COUNTIF(D7:U7,1)</f>
        <v>8</v>
      </c>
      <c r="JZ7" s="18">
        <f>JY7/JT7</f>
        <v>4.878048780487805E-2</v>
      </c>
      <c r="KA7" s="16" t="s">
        <v>35</v>
      </c>
    </row>
    <row r="8" spans="1:287" ht="18.75" x14ac:dyDescent="0.25">
      <c r="A8" s="6" t="s">
        <v>36</v>
      </c>
      <c r="B8" s="7" t="s">
        <v>25</v>
      </c>
      <c r="C8" s="8">
        <f t="shared" si="11"/>
        <v>5.2023121387283239E-2</v>
      </c>
      <c r="D8" s="26"/>
      <c r="E8" s="26"/>
      <c r="F8" s="26"/>
      <c r="G8" s="29" t="s">
        <v>15</v>
      </c>
      <c r="H8" s="29" t="s">
        <v>15</v>
      </c>
      <c r="I8" s="26"/>
      <c r="J8" s="26"/>
      <c r="K8" s="26"/>
      <c r="L8" s="26"/>
      <c r="M8" s="26">
        <v>1</v>
      </c>
      <c r="N8" s="26">
        <v>1</v>
      </c>
      <c r="O8" s="26">
        <v>1</v>
      </c>
      <c r="P8" s="27">
        <v>1</v>
      </c>
      <c r="Q8" s="26">
        <v>1</v>
      </c>
      <c r="R8" s="26">
        <v>1</v>
      </c>
      <c r="S8" s="26">
        <v>1</v>
      </c>
      <c r="T8" s="26">
        <v>1</v>
      </c>
      <c r="U8" s="26">
        <v>1</v>
      </c>
      <c r="V8" s="26">
        <v>1</v>
      </c>
      <c r="W8" s="26">
        <v>1</v>
      </c>
      <c r="X8" s="26">
        <v>1</v>
      </c>
      <c r="Y8" s="26">
        <v>1</v>
      </c>
      <c r="Z8" s="26">
        <v>1</v>
      </c>
      <c r="AA8" s="26">
        <v>1</v>
      </c>
      <c r="AB8" s="26">
        <v>1</v>
      </c>
      <c r="AC8" s="26">
        <v>1</v>
      </c>
      <c r="AD8" s="26">
        <v>1</v>
      </c>
      <c r="AE8" s="26">
        <v>1</v>
      </c>
      <c r="AF8" s="26">
        <v>1</v>
      </c>
      <c r="AG8" s="26">
        <v>1</v>
      </c>
      <c r="AH8" s="26">
        <v>1</v>
      </c>
      <c r="AI8" s="26">
        <v>1</v>
      </c>
      <c r="AJ8" s="26">
        <v>1</v>
      </c>
      <c r="AK8" s="26">
        <v>1</v>
      </c>
      <c r="AL8" s="26">
        <v>1</v>
      </c>
      <c r="AM8" s="26">
        <v>1</v>
      </c>
      <c r="AN8" s="26">
        <v>1</v>
      </c>
      <c r="AO8" s="26">
        <v>1</v>
      </c>
      <c r="AP8" s="26">
        <v>1</v>
      </c>
      <c r="AQ8" s="26">
        <v>1</v>
      </c>
      <c r="AR8" s="26">
        <v>1</v>
      </c>
      <c r="AS8" s="26">
        <v>1</v>
      </c>
      <c r="AT8" s="26">
        <v>1</v>
      </c>
      <c r="AU8" s="26">
        <v>1</v>
      </c>
      <c r="AV8" s="26">
        <v>1</v>
      </c>
      <c r="AW8" s="26">
        <v>1</v>
      </c>
      <c r="AX8" s="26">
        <v>1</v>
      </c>
      <c r="AY8" s="26">
        <v>1</v>
      </c>
      <c r="AZ8" s="26">
        <v>1</v>
      </c>
      <c r="BA8" s="26">
        <v>1</v>
      </c>
      <c r="BB8" s="26">
        <v>1</v>
      </c>
      <c r="BC8" s="26">
        <v>1</v>
      </c>
      <c r="BD8" s="26">
        <v>1</v>
      </c>
      <c r="BE8" s="26">
        <v>1</v>
      </c>
      <c r="BF8" s="26">
        <v>1</v>
      </c>
      <c r="BG8" s="26">
        <v>1</v>
      </c>
      <c r="BH8" s="26">
        <v>1</v>
      </c>
      <c r="BI8" s="29" t="s">
        <v>16</v>
      </c>
      <c r="BJ8" s="26">
        <v>1</v>
      </c>
      <c r="BK8" s="26">
        <v>1</v>
      </c>
      <c r="BL8" s="26">
        <v>1</v>
      </c>
      <c r="BM8" s="26">
        <v>1</v>
      </c>
      <c r="BN8" s="26">
        <v>1</v>
      </c>
      <c r="BO8" s="26">
        <v>1</v>
      </c>
      <c r="BP8" s="26">
        <v>1</v>
      </c>
      <c r="BQ8" s="26">
        <v>1</v>
      </c>
      <c r="BR8" s="26">
        <v>1</v>
      </c>
      <c r="BS8" s="29" t="s">
        <v>17</v>
      </c>
      <c r="BT8" s="26">
        <v>1</v>
      </c>
      <c r="BU8" s="26">
        <v>1</v>
      </c>
      <c r="BV8" s="26">
        <v>1</v>
      </c>
      <c r="BW8" s="26">
        <v>1</v>
      </c>
      <c r="BX8" s="26">
        <v>1</v>
      </c>
      <c r="BY8" s="26">
        <v>1</v>
      </c>
      <c r="BZ8" s="26">
        <v>1</v>
      </c>
      <c r="CA8" s="26">
        <v>1</v>
      </c>
      <c r="CB8" s="26">
        <v>1</v>
      </c>
      <c r="CC8" s="26">
        <v>1</v>
      </c>
      <c r="CD8" s="36">
        <v>1</v>
      </c>
      <c r="CE8" s="36">
        <v>1</v>
      </c>
      <c r="CF8" s="36">
        <v>1</v>
      </c>
      <c r="CG8" s="36">
        <v>1</v>
      </c>
      <c r="CH8" s="36">
        <v>1</v>
      </c>
      <c r="CI8" s="36">
        <v>1</v>
      </c>
      <c r="CJ8" s="34" t="s">
        <v>18</v>
      </c>
      <c r="CK8" s="34" t="s">
        <v>18</v>
      </c>
      <c r="CL8" s="34" t="s">
        <v>18</v>
      </c>
      <c r="CM8" s="34" t="s">
        <v>18</v>
      </c>
      <c r="CN8" s="34" t="s">
        <v>18</v>
      </c>
      <c r="CO8" s="34" t="s">
        <v>18</v>
      </c>
      <c r="CP8" s="26">
        <v>1</v>
      </c>
      <c r="CQ8" s="26">
        <v>1</v>
      </c>
      <c r="CR8" s="26">
        <v>1</v>
      </c>
      <c r="CS8" s="26">
        <v>1</v>
      </c>
      <c r="CT8" s="26">
        <v>1</v>
      </c>
      <c r="CU8" s="26">
        <v>1</v>
      </c>
      <c r="CV8" s="26">
        <v>1</v>
      </c>
      <c r="CW8" s="26">
        <v>1</v>
      </c>
      <c r="CX8" s="26">
        <v>1</v>
      </c>
      <c r="CY8" s="26">
        <v>1</v>
      </c>
      <c r="CZ8" s="26">
        <v>1</v>
      </c>
      <c r="DA8" s="26">
        <v>1</v>
      </c>
      <c r="DB8" s="26">
        <v>1</v>
      </c>
      <c r="DC8" s="26">
        <v>1</v>
      </c>
      <c r="DD8" s="27">
        <v>1</v>
      </c>
      <c r="DE8" s="29" t="s">
        <v>30</v>
      </c>
      <c r="DF8" s="26">
        <v>1</v>
      </c>
      <c r="DG8" s="26">
        <v>1</v>
      </c>
      <c r="DH8" s="26">
        <v>1</v>
      </c>
      <c r="DI8" s="26">
        <v>1</v>
      </c>
      <c r="DJ8" s="26">
        <v>1</v>
      </c>
      <c r="DK8" s="26">
        <v>1</v>
      </c>
      <c r="DL8" s="26">
        <v>1</v>
      </c>
      <c r="DM8" s="27">
        <v>1</v>
      </c>
      <c r="DN8" s="26">
        <v>1</v>
      </c>
      <c r="DO8" s="26">
        <v>1</v>
      </c>
      <c r="DP8" s="29" t="s">
        <v>45</v>
      </c>
      <c r="DQ8" s="26">
        <v>1</v>
      </c>
      <c r="DR8" s="26">
        <v>1</v>
      </c>
      <c r="DS8" s="26">
        <v>1</v>
      </c>
      <c r="DT8" s="26">
        <v>1</v>
      </c>
      <c r="DU8" s="26">
        <v>1</v>
      </c>
      <c r="DV8" s="26">
        <v>1</v>
      </c>
      <c r="DW8" s="26">
        <v>1</v>
      </c>
      <c r="DX8" s="26">
        <v>1</v>
      </c>
      <c r="DY8" s="26">
        <v>1</v>
      </c>
      <c r="DZ8" s="31" t="s">
        <v>19</v>
      </c>
      <c r="EA8" s="31" t="s">
        <v>19</v>
      </c>
      <c r="EB8" s="31" t="s">
        <v>19</v>
      </c>
      <c r="EC8" s="31" t="s">
        <v>19</v>
      </c>
      <c r="ED8" s="31" t="s">
        <v>19</v>
      </c>
      <c r="EE8" s="31" t="s">
        <v>19</v>
      </c>
      <c r="EF8" s="26">
        <v>1</v>
      </c>
      <c r="EG8" s="26">
        <v>1</v>
      </c>
      <c r="EH8" s="26">
        <v>1</v>
      </c>
      <c r="EI8" s="26">
        <v>1</v>
      </c>
      <c r="EJ8" s="26">
        <v>1</v>
      </c>
      <c r="EK8" s="26">
        <v>1</v>
      </c>
      <c r="EL8" s="26">
        <v>1</v>
      </c>
      <c r="EM8" s="26">
        <v>1</v>
      </c>
      <c r="EN8" s="26">
        <v>1</v>
      </c>
      <c r="EO8" s="26">
        <v>1</v>
      </c>
      <c r="EP8" s="26">
        <v>1</v>
      </c>
      <c r="EQ8" s="26">
        <v>1</v>
      </c>
      <c r="ER8" s="26">
        <v>1</v>
      </c>
      <c r="ES8" s="26">
        <v>1</v>
      </c>
      <c r="ET8" s="26">
        <v>1</v>
      </c>
      <c r="EU8" s="26">
        <v>1</v>
      </c>
      <c r="EV8" s="26">
        <v>1</v>
      </c>
      <c r="EW8" s="26">
        <v>1</v>
      </c>
      <c r="EX8" s="26">
        <v>1</v>
      </c>
      <c r="EY8" s="26">
        <v>1</v>
      </c>
      <c r="EZ8" s="26">
        <v>1</v>
      </c>
      <c r="FA8" s="26">
        <v>1</v>
      </c>
      <c r="FB8" s="26">
        <v>1</v>
      </c>
      <c r="FC8" s="26">
        <v>1</v>
      </c>
      <c r="FD8" s="26">
        <v>1</v>
      </c>
      <c r="FE8" s="26">
        <v>1</v>
      </c>
      <c r="FF8" s="26">
        <v>1</v>
      </c>
      <c r="FG8" s="26">
        <v>1</v>
      </c>
      <c r="FH8" s="26">
        <v>1</v>
      </c>
      <c r="FI8" s="26">
        <v>1</v>
      </c>
      <c r="FJ8" s="26">
        <v>1</v>
      </c>
      <c r="FK8" s="26">
        <v>1</v>
      </c>
      <c r="FL8" s="26">
        <v>1</v>
      </c>
      <c r="FM8" s="26">
        <v>1</v>
      </c>
      <c r="FN8" s="26">
        <v>1</v>
      </c>
      <c r="FO8" s="26">
        <v>1</v>
      </c>
      <c r="FP8" s="34" t="s">
        <v>20</v>
      </c>
      <c r="FQ8" s="34" t="s">
        <v>20</v>
      </c>
      <c r="FR8" s="34" t="s">
        <v>20</v>
      </c>
      <c r="FS8" s="34" t="s">
        <v>20</v>
      </c>
      <c r="FT8" s="34" t="s">
        <v>20</v>
      </c>
      <c r="FU8" s="34" t="s">
        <v>20</v>
      </c>
      <c r="FV8" s="73">
        <v>1</v>
      </c>
      <c r="FW8" s="73">
        <v>1</v>
      </c>
      <c r="FX8" s="73">
        <v>1</v>
      </c>
      <c r="FY8" s="26">
        <v>1</v>
      </c>
      <c r="FZ8" s="26">
        <v>1</v>
      </c>
      <c r="GA8" s="26">
        <v>1</v>
      </c>
      <c r="GB8" s="71">
        <v>1</v>
      </c>
      <c r="GC8" s="71">
        <v>1</v>
      </c>
      <c r="GD8" s="71">
        <v>1</v>
      </c>
      <c r="GE8" s="36">
        <v>1</v>
      </c>
      <c r="GF8" s="36">
        <v>1</v>
      </c>
      <c r="GG8" s="36">
        <v>1</v>
      </c>
      <c r="GH8" s="26">
        <v>1</v>
      </c>
      <c r="GI8" s="26">
        <v>1</v>
      </c>
      <c r="GJ8" s="26">
        <v>1</v>
      </c>
      <c r="GK8" s="26">
        <v>1</v>
      </c>
      <c r="GL8" s="26">
        <v>1</v>
      </c>
      <c r="GM8" s="26">
        <v>1</v>
      </c>
      <c r="GN8" s="26">
        <v>1</v>
      </c>
      <c r="GO8" s="26">
        <v>1</v>
      </c>
      <c r="GP8" s="26">
        <v>1</v>
      </c>
      <c r="GQ8" s="26">
        <v>1</v>
      </c>
      <c r="GR8" s="26">
        <v>1</v>
      </c>
      <c r="GS8" s="26">
        <v>1</v>
      </c>
      <c r="GT8" s="26">
        <v>1</v>
      </c>
      <c r="GU8" s="26">
        <v>1</v>
      </c>
      <c r="GV8" s="26">
        <v>1</v>
      </c>
      <c r="GW8" s="26">
        <v>1</v>
      </c>
      <c r="GX8" s="26">
        <v>1</v>
      </c>
      <c r="GY8" s="26">
        <v>1</v>
      </c>
      <c r="GZ8" s="39" t="s">
        <v>24</v>
      </c>
      <c r="HA8" s="39" t="s">
        <v>24</v>
      </c>
      <c r="HB8" s="39" t="s">
        <v>24</v>
      </c>
      <c r="HC8" s="39" t="s">
        <v>24</v>
      </c>
      <c r="HD8" s="29" t="s">
        <v>46</v>
      </c>
      <c r="HE8" s="39" t="s">
        <v>24</v>
      </c>
      <c r="HF8" s="39" t="s">
        <v>24</v>
      </c>
      <c r="HG8" s="39" t="s">
        <v>24</v>
      </c>
      <c r="HH8" s="39" t="s">
        <v>24</v>
      </c>
      <c r="HI8" s="39" t="s">
        <v>24</v>
      </c>
      <c r="HJ8" s="39" t="s">
        <v>24</v>
      </c>
      <c r="HK8" s="39" t="s">
        <v>24</v>
      </c>
      <c r="HL8" s="39" t="s">
        <v>24</v>
      </c>
      <c r="HM8" s="39" t="s">
        <v>24</v>
      </c>
      <c r="HN8" s="39" t="s">
        <v>24</v>
      </c>
      <c r="HO8" s="39" t="s">
        <v>24</v>
      </c>
      <c r="HP8" s="39" t="s">
        <v>24</v>
      </c>
      <c r="HQ8" s="39" t="s">
        <v>24</v>
      </c>
      <c r="HR8" s="39" t="s">
        <v>24</v>
      </c>
      <c r="HS8" s="39" t="s">
        <v>24</v>
      </c>
      <c r="HT8" s="39" t="s">
        <v>24</v>
      </c>
      <c r="HU8" s="39" t="s">
        <v>24</v>
      </c>
      <c r="HV8" s="39" t="s">
        <v>24</v>
      </c>
      <c r="HW8" s="39" t="s">
        <v>24</v>
      </c>
      <c r="HX8" s="39" t="s">
        <v>24</v>
      </c>
      <c r="HY8" s="39" t="s">
        <v>24</v>
      </c>
      <c r="HZ8" s="29" t="s">
        <v>22</v>
      </c>
      <c r="IA8" s="29" t="s">
        <v>22</v>
      </c>
      <c r="IB8" s="29" t="s">
        <v>22</v>
      </c>
      <c r="IC8" s="39" t="s">
        <v>24</v>
      </c>
      <c r="ID8" s="39" t="s">
        <v>24</v>
      </c>
      <c r="IE8" s="39" t="s">
        <v>24</v>
      </c>
      <c r="IF8" s="3" t="s">
        <v>21</v>
      </c>
      <c r="IG8" s="3" t="s">
        <v>21</v>
      </c>
      <c r="IH8" s="3" t="s">
        <v>21</v>
      </c>
      <c r="II8" s="3" t="s">
        <v>21</v>
      </c>
      <c r="IJ8" s="3" t="s">
        <v>21</v>
      </c>
      <c r="IK8" s="3" t="s">
        <v>21</v>
      </c>
      <c r="IL8" s="3" t="s">
        <v>21</v>
      </c>
      <c r="IM8" s="3" t="s">
        <v>21</v>
      </c>
      <c r="IN8" s="3" t="s">
        <v>21</v>
      </c>
      <c r="IO8" s="74"/>
      <c r="IP8" s="74"/>
      <c r="IQ8" s="29" t="s">
        <v>47</v>
      </c>
      <c r="IR8" s="74"/>
      <c r="IS8" s="74"/>
      <c r="IT8" s="74"/>
      <c r="IU8" s="26"/>
      <c r="IV8" s="26"/>
      <c r="IW8" s="26"/>
      <c r="IX8" s="26"/>
      <c r="IY8" s="27"/>
      <c r="IZ8" s="26"/>
      <c r="JA8" s="26"/>
      <c r="JB8" s="26"/>
      <c r="JC8" s="26"/>
      <c r="JD8" s="26"/>
      <c r="JE8" s="26"/>
      <c r="JF8" s="26"/>
      <c r="JG8" s="26"/>
      <c r="JH8" s="36"/>
      <c r="JI8" s="36"/>
      <c r="JJ8" s="36"/>
      <c r="JK8" s="36"/>
      <c r="JL8" s="36"/>
      <c r="JM8" s="36"/>
      <c r="JN8" s="42"/>
      <c r="JO8" s="42"/>
      <c r="JP8" s="42"/>
      <c r="JQ8" s="42"/>
      <c r="JR8" s="42"/>
      <c r="JS8" s="42"/>
      <c r="JT8" s="7">
        <f>+SUMIF(E8:JL8,1)</f>
        <v>173</v>
      </c>
      <c r="JU8" s="7">
        <f t="shared" ref="JU6:JU18" si="14">+COUNTIF(E8:IO8,"ST")</f>
        <v>28</v>
      </c>
      <c r="JV8" s="7">
        <f t="shared" ref="JV6:JV18" si="15">COUNTIF(E8:IO8,"VAC")</f>
        <v>0</v>
      </c>
      <c r="JW8" s="20">
        <f t="shared" si="12"/>
        <v>28.833333333333332</v>
      </c>
      <c r="JX8" s="8"/>
      <c r="JY8" s="17">
        <f t="shared" si="13"/>
        <v>9</v>
      </c>
      <c r="JZ8" s="8">
        <f>JY8/JT8</f>
        <v>5.2023121387283239E-2</v>
      </c>
      <c r="KA8" s="6" t="s">
        <v>36</v>
      </c>
    </row>
    <row r="9" spans="1:287" ht="18.75" x14ac:dyDescent="0.25">
      <c r="A9" s="6" t="s">
        <v>37</v>
      </c>
      <c r="B9" s="7" t="s">
        <v>26</v>
      </c>
      <c r="C9" s="8">
        <f t="shared" si="11"/>
        <v>9.2783505154639179E-2</v>
      </c>
      <c r="D9" s="26"/>
      <c r="E9" s="26"/>
      <c r="F9" s="26"/>
      <c r="G9" s="29" t="s">
        <v>15</v>
      </c>
      <c r="H9" s="29" t="s">
        <v>15</v>
      </c>
      <c r="I9" s="26"/>
      <c r="J9" s="26"/>
      <c r="K9" s="26"/>
      <c r="L9" s="26"/>
      <c r="M9" s="26">
        <v>1</v>
      </c>
      <c r="N9" s="26">
        <v>1</v>
      </c>
      <c r="O9" s="26">
        <v>1</v>
      </c>
      <c r="P9" s="27">
        <v>1</v>
      </c>
      <c r="Q9" s="26">
        <v>1</v>
      </c>
      <c r="R9" s="26">
        <v>1</v>
      </c>
      <c r="S9" s="26">
        <v>1</v>
      </c>
      <c r="T9" s="26">
        <v>1</v>
      </c>
      <c r="U9" s="26">
        <v>1</v>
      </c>
      <c r="V9" s="26">
        <v>1</v>
      </c>
      <c r="W9" s="26">
        <v>1</v>
      </c>
      <c r="X9" s="26">
        <v>1</v>
      </c>
      <c r="Y9" s="26">
        <v>1</v>
      </c>
      <c r="Z9" s="26">
        <v>1</v>
      </c>
      <c r="AA9" s="26">
        <v>1</v>
      </c>
      <c r="AB9" s="26">
        <v>1</v>
      </c>
      <c r="AC9" s="26">
        <v>1</v>
      </c>
      <c r="AD9" s="39" t="s">
        <v>24</v>
      </c>
      <c r="AE9" s="39" t="s">
        <v>24</v>
      </c>
      <c r="AF9" s="39" t="s">
        <v>24</v>
      </c>
      <c r="AG9" s="39" t="s">
        <v>24</v>
      </c>
      <c r="AH9" s="39" t="s">
        <v>24</v>
      </c>
      <c r="AI9" s="39" t="s">
        <v>24</v>
      </c>
      <c r="AJ9" s="39" t="s">
        <v>24</v>
      </c>
      <c r="AK9" s="39" t="s">
        <v>24</v>
      </c>
      <c r="AL9" s="39" t="s">
        <v>24</v>
      </c>
      <c r="AM9" s="39" t="s">
        <v>24</v>
      </c>
      <c r="AN9" s="39" t="s">
        <v>24</v>
      </c>
      <c r="AO9" s="39" t="s">
        <v>24</v>
      </c>
      <c r="AP9" s="39" t="s">
        <v>24</v>
      </c>
      <c r="AQ9" s="39" t="s">
        <v>24</v>
      </c>
      <c r="AR9" s="39" t="s">
        <v>24</v>
      </c>
      <c r="AS9" s="39" t="s">
        <v>24</v>
      </c>
      <c r="AT9" s="39" t="s">
        <v>24</v>
      </c>
      <c r="AU9" s="39" t="s">
        <v>24</v>
      </c>
      <c r="AV9" s="39" t="s">
        <v>24</v>
      </c>
      <c r="AW9" s="39" t="s">
        <v>24</v>
      </c>
      <c r="AX9" s="39" t="s">
        <v>24</v>
      </c>
      <c r="AY9" s="39" t="s">
        <v>24</v>
      </c>
      <c r="AZ9" s="39" t="s">
        <v>24</v>
      </c>
      <c r="BA9" s="39" t="s">
        <v>24</v>
      </c>
      <c r="BB9" s="39" t="s">
        <v>24</v>
      </c>
      <c r="BC9" s="39" t="s">
        <v>24</v>
      </c>
      <c r="BD9" s="39" t="s">
        <v>24</v>
      </c>
      <c r="BE9" s="26">
        <v>1</v>
      </c>
      <c r="BF9" s="26">
        <v>1</v>
      </c>
      <c r="BG9" s="26">
        <v>1</v>
      </c>
      <c r="BH9" s="26">
        <v>1</v>
      </c>
      <c r="BI9" s="29" t="s">
        <v>16</v>
      </c>
      <c r="BJ9" s="26">
        <v>1</v>
      </c>
      <c r="BK9" s="26">
        <v>1</v>
      </c>
      <c r="BL9" s="26">
        <v>1</v>
      </c>
      <c r="BM9" s="26">
        <v>1</v>
      </c>
      <c r="BN9" s="26">
        <v>1</v>
      </c>
      <c r="BO9" s="26">
        <v>1</v>
      </c>
      <c r="BP9" s="26">
        <v>1</v>
      </c>
      <c r="BQ9" s="26">
        <v>1</v>
      </c>
      <c r="BR9" s="26">
        <v>1</v>
      </c>
      <c r="BS9" s="29" t="s">
        <v>17</v>
      </c>
      <c r="BT9" s="26">
        <v>1</v>
      </c>
      <c r="BU9" s="26">
        <v>1</v>
      </c>
      <c r="BV9" s="26">
        <v>1</v>
      </c>
      <c r="BW9" s="26">
        <v>1</v>
      </c>
      <c r="BX9" s="26">
        <v>1</v>
      </c>
      <c r="BY9" s="26">
        <v>1</v>
      </c>
      <c r="BZ9" s="26">
        <v>1</v>
      </c>
      <c r="CA9" s="26">
        <v>1</v>
      </c>
      <c r="CB9" s="26">
        <v>1</v>
      </c>
      <c r="CC9" s="26">
        <v>1</v>
      </c>
      <c r="CD9" s="39" t="s">
        <v>24</v>
      </c>
      <c r="CE9" s="39" t="s">
        <v>24</v>
      </c>
      <c r="CF9" s="39" t="s">
        <v>24</v>
      </c>
      <c r="CG9" s="39" t="s">
        <v>24</v>
      </c>
      <c r="CH9" s="39" t="s">
        <v>24</v>
      </c>
      <c r="CI9" s="39" t="s">
        <v>24</v>
      </c>
      <c r="CJ9" s="39" t="s">
        <v>24</v>
      </c>
      <c r="CK9" s="39" t="s">
        <v>24</v>
      </c>
      <c r="CL9" s="39" t="s">
        <v>24</v>
      </c>
      <c r="CM9" s="39" t="s">
        <v>24</v>
      </c>
      <c r="CN9" s="39" t="s">
        <v>24</v>
      </c>
      <c r="CO9" s="39" t="s">
        <v>24</v>
      </c>
      <c r="CP9" s="39" t="s">
        <v>24</v>
      </c>
      <c r="CQ9" s="39" t="s">
        <v>24</v>
      </c>
      <c r="CR9" s="39" t="s">
        <v>24</v>
      </c>
      <c r="CS9" s="39" t="s">
        <v>24</v>
      </c>
      <c r="CT9" s="39" t="s">
        <v>24</v>
      </c>
      <c r="CU9" s="39" t="s">
        <v>24</v>
      </c>
      <c r="CV9" s="39" t="s">
        <v>24</v>
      </c>
      <c r="CW9" s="39" t="s">
        <v>24</v>
      </c>
      <c r="CX9" s="39" t="s">
        <v>24</v>
      </c>
      <c r="CY9" s="39" t="s">
        <v>24</v>
      </c>
      <c r="CZ9" s="39" t="s">
        <v>24</v>
      </c>
      <c r="DA9" s="39" t="s">
        <v>24</v>
      </c>
      <c r="DB9" s="39" t="s">
        <v>24</v>
      </c>
      <c r="DC9" s="39" t="s">
        <v>24</v>
      </c>
      <c r="DD9" s="39" t="s">
        <v>24</v>
      </c>
      <c r="DE9" s="29" t="s">
        <v>30</v>
      </c>
      <c r="DF9" s="26">
        <v>1</v>
      </c>
      <c r="DG9" s="26">
        <v>1</v>
      </c>
      <c r="DH9" s="26">
        <v>1</v>
      </c>
      <c r="DI9" s="26">
        <v>1</v>
      </c>
      <c r="DJ9" s="26">
        <v>1</v>
      </c>
      <c r="DK9" s="26">
        <v>1</v>
      </c>
      <c r="DL9" s="26">
        <v>1</v>
      </c>
      <c r="DM9" s="27">
        <v>1</v>
      </c>
      <c r="DN9" s="26">
        <v>1</v>
      </c>
      <c r="DO9" s="26">
        <v>1</v>
      </c>
      <c r="DP9" s="29" t="s">
        <v>45</v>
      </c>
      <c r="DQ9" s="26">
        <v>1</v>
      </c>
      <c r="DR9" s="26">
        <v>1</v>
      </c>
      <c r="DS9" s="26">
        <v>1</v>
      </c>
      <c r="DT9" s="26">
        <v>1</v>
      </c>
      <c r="DU9" s="26">
        <v>1</v>
      </c>
      <c r="DV9" s="26">
        <v>1</v>
      </c>
      <c r="DW9" s="26">
        <v>1</v>
      </c>
      <c r="DX9" s="26">
        <v>1</v>
      </c>
      <c r="DY9" s="26">
        <v>1</v>
      </c>
      <c r="DZ9" s="31" t="s">
        <v>19</v>
      </c>
      <c r="EA9" s="31" t="s">
        <v>19</v>
      </c>
      <c r="EB9" s="31" t="s">
        <v>19</v>
      </c>
      <c r="EC9" s="31" t="s">
        <v>19</v>
      </c>
      <c r="ED9" s="31" t="s">
        <v>19</v>
      </c>
      <c r="EE9" s="31" t="s">
        <v>19</v>
      </c>
      <c r="EF9" s="40" t="s">
        <v>24</v>
      </c>
      <c r="EG9" s="40" t="s">
        <v>24</v>
      </c>
      <c r="EH9" s="40" t="s">
        <v>24</v>
      </c>
      <c r="EI9" s="40" t="s">
        <v>24</v>
      </c>
      <c r="EJ9" s="40" t="s">
        <v>24</v>
      </c>
      <c r="EK9" s="40" t="s">
        <v>24</v>
      </c>
      <c r="EL9" s="40" t="s">
        <v>24</v>
      </c>
      <c r="EM9" s="40" t="s">
        <v>24</v>
      </c>
      <c r="EN9" s="40" t="s">
        <v>24</v>
      </c>
      <c r="EO9" s="40" t="s">
        <v>24</v>
      </c>
      <c r="EP9" s="40" t="s">
        <v>24</v>
      </c>
      <c r="EQ9" s="40" t="s">
        <v>24</v>
      </c>
      <c r="ER9" s="40" t="s">
        <v>24</v>
      </c>
      <c r="ES9" s="40" t="s">
        <v>24</v>
      </c>
      <c r="ET9" s="40" t="s">
        <v>24</v>
      </c>
      <c r="EU9" s="40" t="s">
        <v>24</v>
      </c>
      <c r="EV9" s="40" t="s">
        <v>24</v>
      </c>
      <c r="EW9" s="40" t="s">
        <v>24</v>
      </c>
      <c r="EX9" s="40" t="s">
        <v>24</v>
      </c>
      <c r="EY9" s="40" t="s">
        <v>24</v>
      </c>
      <c r="EZ9" s="40" t="s">
        <v>24</v>
      </c>
      <c r="FA9" s="40" t="s">
        <v>24</v>
      </c>
      <c r="FB9" s="40" t="s">
        <v>24</v>
      </c>
      <c r="FC9" s="40" t="s">
        <v>24</v>
      </c>
      <c r="FD9" s="26">
        <v>1</v>
      </c>
      <c r="FE9" s="26">
        <v>1</v>
      </c>
      <c r="FF9" s="26">
        <v>1</v>
      </c>
      <c r="FG9" s="26">
        <v>1</v>
      </c>
      <c r="FH9" s="26">
        <v>1</v>
      </c>
      <c r="FI9" s="26">
        <v>1</v>
      </c>
      <c r="FJ9" s="26">
        <v>1</v>
      </c>
      <c r="FK9" s="26">
        <v>1</v>
      </c>
      <c r="FL9" s="26">
        <v>1</v>
      </c>
      <c r="FM9" s="26">
        <v>1</v>
      </c>
      <c r="FN9" s="26">
        <v>1</v>
      </c>
      <c r="FO9" s="26">
        <v>1</v>
      </c>
      <c r="FP9" s="34" t="s">
        <v>20</v>
      </c>
      <c r="FQ9" s="34" t="s">
        <v>20</v>
      </c>
      <c r="FR9" s="34" t="s">
        <v>20</v>
      </c>
      <c r="FS9" s="34" t="s">
        <v>20</v>
      </c>
      <c r="FT9" s="34" t="s">
        <v>20</v>
      </c>
      <c r="FU9" s="34" t="s">
        <v>20</v>
      </c>
      <c r="FV9" s="73">
        <v>1</v>
      </c>
      <c r="FW9" s="73">
        <v>1</v>
      </c>
      <c r="FX9" s="73">
        <v>1</v>
      </c>
      <c r="FY9" s="26">
        <v>1</v>
      </c>
      <c r="FZ9" s="26">
        <v>1</v>
      </c>
      <c r="GA9" s="26">
        <v>1</v>
      </c>
      <c r="GB9" s="36">
        <v>1</v>
      </c>
      <c r="GC9" s="36">
        <v>1</v>
      </c>
      <c r="GD9" s="36" t="s">
        <v>24</v>
      </c>
      <c r="GE9" s="36" t="s">
        <v>24</v>
      </c>
      <c r="GF9" s="36" t="s">
        <v>24</v>
      </c>
      <c r="GG9" s="36" t="s">
        <v>24</v>
      </c>
      <c r="GH9" s="39" t="s">
        <v>24</v>
      </c>
      <c r="GI9" s="39" t="s">
        <v>24</v>
      </c>
      <c r="GJ9" s="39" t="s">
        <v>24</v>
      </c>
      <c r="GK9" s="39" t="s">
        <v>24</v>
      </c>
      <c r="GL9" s="39" t="s">
        <v>24</v>
      </c>
      <c r="GM9" s="39" t="s">
        <v>24</v>
      </c>
      <c r="GN9" s="39" t="s">
        <v>24</v>
      </c>
      <c r="GO9" s="39" t="s">
        <v>24</v>
      </c>
      <c r="GP9" s="39" t="s">
        <v>24</v>
      </c>
      <c r="GQ9" s="39" t="s">
        <v>24</v>
      </c>
      <c r="GR9" s="39" t="s">
        <v>24</v>
      </c>
      <c r="GS9" s="39" t="s">
        <v>24</v>
      </c>
      <c r="GT9" s="39" t="s">
        <v>24</v>
      </c>
      <c r="GU9" s="39" t="s">
        <v>24</v>
      </c>
      <c r="GV9" s="39" t="s">
        <v>24</v>
      </c>
      <c r="GW9" s="39" t="s">
        <v>24</v>
      </c>
      <c r="GX9" s="39" t="s">
        <v>24</v>
      </c>
      <c r="GY9" s="39" t="s">
        <v>24</v>
      </c>
      <c r="GZ9" s="39" t="s">
        <v>24</v>
      </c>
      <c r="HA9" s="39" t="s">
        <v>24</v>
      </c>
      <c r="HB9" s="39" t="s">
        <v>24</v>
      </c>
      <c r="HC9" s="39" t="s">
        <v>24</v>
      </c>
      <c r="HD9" s="29" t="s">
        <v>46</v>
      </c>
      <c r="HE9" s="26">
        <v>1</v>
      </c>
      <c r="HF9" s="34" t="s">
        <v>49</v>
      </c>
      <c r="HG9" s="34" t="s">
        <v>49</v>
      </c>
      <c r="HH9" s="34" t="s">
        <v>49</v>
      </c>
      <c r="HI9" s="34" t="s">
        <v>49</v>
      </c>
      <c r="HJ9" s="34" t="s">
        <v>49</v>
      </c>
      <c r="HK9" s="34" t="s">
        <v>49</v>
      </c>
      <c r="HL9" s="26">
        <v>1</v>
      </c>
      <c r="HM9" s="26">
        <v>1</v>
      </c>
      <c r="HN9" s="26">
        <v>1</v>
      </c>
      <c r="HO9" s="26">
        <v>1</v>
      </c>
      <c r="HP9" s="26">
        <v>1</v>
      </c>
      <c r="HQ9" s="26">
        <v>1</v>
      </c>
      <c r="HR9" s="26">
        <v>1</v>
      </c>
      <c r="HS9" s="26">
        <v>1</v>
      </c>
      <c r="HT9" s="26">
        <v>1</v>
      </c>
      <c r="HU9" s="26">
        <v>1</v>
      </c>
      <c r="HV9" s="26">
        <v>1</v>
      </c>
      <c r="HW9" s="26">
        <v>1</v>
      </c>
      <c r="HX9" s="26">
        <v>1</v>
      </c>
      <c r="HY9" s="26">
        <v>1</v>
      </c>
      <c r="HZ9" s="29" t="s">
        <v>22</v>
      </c>
      <c r="IA9" s="29" t="s">
        <v>22</v>
      </c>
      <c r="IB9" s="29" t="s">
        <v>22</v>
      </c>
      <c r="IC9" s="26">
        <v>1</v>
      </c>
      <c r="ID9" s="26">
        <v>1</v>
      </c>
      <c r="IE9" s="26">
        <v>1</v>
      </c>
      <c r="IF9" s="3" t="s">
        <v>21</v>
      </c>
      <c r="IG9" s="3" t="s">
        <v>21</v>
      </c>
      <c r="IH9" s="3" t="s">
        <v>21</v>
      </c>
      <c r="II9" s="3" t="s">
        <v>21</v>
      </c>
      <c r="IJ9" s="3" t="s">
        <v>21</v>
      </c>
      <c r="IK9" s="3" t="s">
        <v>21</v>
      </c>
      <c r="IL9" s="3" t="s">
        <v>21</v>
      </c>
      <c r="IM9" s="3" t="s">
        <v>21</v>
      </c>
      <c r="IN9" s="3" t="s">
        <v>21</v>
      </c>
      <c r="IO9" s="74"/>
      <c r="IP9" s="74"/>
      <c r="IQ9" s="29" t="s">
        <v>47</v>
      </c>
      <c r="IR9" s="74"/>
      <c r="IS9" s="74"/>
      <c r="IT9" s="74"/>
      <c r="IU9" s="26"/>
      <c r="IV9" s="26"/>
      <c r="IW9" s="26"/>
      <c r="IX9" s="26"/>
      <c r="IY9" s="27"/>
      <c r="IZ9" s="26"/>
      <c r="JA9" s="26"/>
      <c r="JB9" s="26"/>
      <c r="JC9" s="26"/>
      <c r="JD9" s="26"/>
      <c r="JE9" s="26"/>
      <c r="JF9" s="26"/>
      <c r="JG9" s="26"/>
      <c r="JH9" s="36"/>
      <c r="JI9" s="36"/>
      <c r="JJ9" s="36"/>
      <c r="JK9" s="36"/>
      <c r="JL9" s="36"/>
      <c r="JM9" s="36"/>
      <c r="JN9" s="26"/>
      <c r="JO9" s="26"/>
      <c r="JP9" s="26"/>
      <c r="JQ9" s="26"/>
      <c r="JR9" s="26"/>
      <c r="JS9" s="26"/>
      <c r="JT9" s="7">
        <f>+SUMIF(E9:JL9,1)</f>
        <v>97</v>
      </c>
      <c r="JU9" s="7">
        <f t="shared" si="14"/>
        <v>104</v>
      </c>
      <c r="JV9" s="7">
        <f t="shared" si="15"/>
        <v>0</v>
      </c>
      <c r="JW9" s="20">
        <f t="shared" si="12"/>
        <v>16.166666666666668</v>
      </c>
      <c r="JX9" s="8">
        <f>+JT9/JT8</f>
        <v>0.56069364161849711</v>
      </c>
      <c r="JY9" s="17">
        <f t="shared" si="13"/>
        <v>9</v>
      </c>
      <c r="JZ9" s="8">
        <f>JY9/JT9</f>
        <v>9.2783505154639179E-2</v>
      </c>
      <c r="KA9" s="6" t="s">
        <v>37</v>
      </c>
    </row>
    <row r="10" spans="1:287" ht="18.75" x14ac:dyDescent="0.25">
      <c r="A10" s="6" t="s">
        <v>43</v>
      </c>
      <c r="B10" s="7" t="s">
        <v>14</v>
      </c>
      <c r="C10" s="8">
        <f t="shared" si="11"/>
        <v>4.6153846153846156E-2</v>
      </c>
      <c r="D10" s="26"/>
      <c r="E10" s="26"/>
      <c r="F10" s="26"/>
      <c r="G10" s="29" t="s">
        <v>15</v>
      </c>
      <c r="H10" s="29" t="s">
        <v>15</v>
      </c>
      <c r="I10" s="26"/>
      <c r="J10" s="26"/>
      <c r="K10" s="26"/>
      <c r="L10" s="26"/>
      <c r="M10" s="26">
        <v>1</v>
      </c>
      <c r="N10" s="26">
        <v>1</v>
      </c>
      <c r="O10" s="26">
        <v>1</v>
      </c>
      <c r="P10" s="26">
        <v>1</v>
      </c>
      <c r="Q10" s="26">
        <v>1</v>
      </c>
      <c r="R10" s="26">
        <v>1</v>
      </c>
      <c r="S10" s="26">
        <v>1</v>
      </c>
      <c r="T10" s="26">
        <v>1</v>
      </c>
      <c r="U10" s="26">
        <v>1</v>
      </c>
      <c r="V10" s="26">
        <v>1</v>
      </c>
      <c r="W10" s="26">
        <v>1</v>
      </c>
      <c r="X10" s="26">
        <v>1</v>
      </c>
      <c r="Y10" s="26">
        <v>1</v>
      </c>
      <c r="Z10" s="26">
        <v>1</v>
      </c>
      <c r="AA10" s="26">
        <v>1</v>
      </c>
      <c r="AB10" s="26">
        <v>1</v>
      </c>
      <c r="AC10" s="26">
        <v>1</v>
      </c>
      <c r="AD10" s="26">
        <v>1</v>
      </c>
      <c r="AE10" s="26">
        <v>1</v>
      </c>
      <c r="AF10" s="26">
        <v>1</v>
      </c>
      <c r="AG10" s="26">
        <v>1</v>
      </c>
      <c r="AH10" s="26">
        <v>1</v>
      </c>
      <c r="AI10" s="26">
        <v>1</v>
      </c>
      <c r="AJ10" s="26">
        <v>1</v>
      </c>
      <c r="AK10" s="26">
        <v>1</v>
      </c>
      <c r="AL10" s="26">
        <v>1</v>
      </c>
      <c r="AM10" s="26">
        <v>1</v>
      </c>
      <c r="AN10" s="26">
        <v>1</v>
      </c>
      <c r="AO10" s="26">
        <v>1</v>
      </c>
      <c r="AP10" s="26">
        <v>1</v>
      </c>
      <c r="AQ10" s="26">
        <v>1</v>
      </c>
      <c r="AR10" s="26">
        <v>1</v>
      </c>
      <c r="AS10" s="26">
        <v>1</v>
      </c>
      <c r="AT10" s="26">
        <v>1</v>
      </c>
      <c r="AU10" s="26">
        <v>1</v>
      </c>
      <c r="AV10" s="26">
        <v>1</v>
      </c>
      <c r="AW10" s="26">
        <v>1</v>
      </c>
      <c r="AX10" s="26">
        <v>1</v>
      </c>
      <c r="AY10" s="26">
        <v>1</v>
      </c>
      <c r="AZ10" s="26">
        <v>1</v>
      </c>
      <c r="BA10" s="26">
        <v>1</v>
      </c>
      <c r="BB10" s="26">
        <v>1</v>
      </c>
      <c r="BC10" s="26">
        <v>1</v>
      </c>
      <c r="BD10" s="26">
        <v>1</v>
      </c>
      <c r="BE10" s="26">
        <v>1</v>
      </c>
      <c r="BF10" s="26">
        <v>1</v>
      </c>
      <c r="BG10" s="26">
        <v>1</v>
      </c>
      <c r="BH10" s="26">
        <v>1</v>
      </c>
      <c r="BI10" s="29" t="s">
        <v>16</v>
      </c>
      <c r="BJ10" s="26">
        <v>1</v>
      </c>
      <c r="BK10" s="26">
        <v>1</v>
      </c>
      <c r="BL10" s="26">
        <v>1</v>
      </c>
      <c r="BM10" s="26">
        <v>1</v>
      </c>
      <c r="BN10" s="26">
        <v>1</v>
      </c>
      <c r="BO10" s="26">
        <v>1</v>
      </c>
      <c r="BP10" s="26">
        <v>1</v>
      </c>
      <c r="BQ10" s="26">
        <v>1</v>
      </c>
      <c r="BR10" s="26">
        <v>1</v>
      </c>
      <c r="BS10" s="29" t="s">
        <v>17</v>
      </c>
      <c r="BT10" s="26">
        <v>1</v>
      </c>
      <c r="BU10" s="26">
        <v>1</v>
      </c>
      <c r="BV10" s="26">
        <v>1</v>
      </c>
      <c r="BW10" s="26">
        <v>1</v>
      </c>
      <c r="BX10" s="26">
        <v>1</v>
      </c>
      <c r="BY10" s="26">
        <v>1</v>
      </c>
      <c r="BZ10" s="26">
        <v>1</v>
      </c>
      <c r="CA10" s="26">
        <v>1</v>
      </c>
      <c r="CB10" s="26">
        <v>1</v>
      </c>
      <c r="CC10" s="26">
        <v>1</v>
      </c>
      <c r="CD10" s="36">
        <v>1</v>
      </c>
      <c r="CE10" s="36">
        <v>1</v>
      </c>
      <c r="CF10" s="36">
        <v>1</v>
      </c>
      <c r="CG10" s="36">
        <v>1</v>
      </c>
      <c r="CH10" s="36">
        <v>1</v>
      </c>
      <c r="CI10" s="36">
        <v>1</v>
      </c>
      <c r="CJ10" s="34" t="s">
        <v>18</v>
      </c>
      <c r="CK10" s="34" t="s">
        <v>18</v>
      </c>
      <c r="CL10" s="34" t="s">
        <v>18</v>
      </c>
      <c r="CM10" s="34" t="s">
        <v>18</v>
      </c>
      <c r="CN10" s="34" t="s">
        <v>18</v>
      </c>
      <c r="CO10" s="34" t="s">
        <v>18</v>
      </c>
      <c r="CP10" s="26">
        <v>1</v>
      </c>
      <c r="CQ10" s="26">
        <v>1</v>
      </c>
      <c r="CR10" s="26">
        <v>1</v>
      </c>
      <c r="CS10" s="26">
        <v>1</v>
      </c>
      <c r="CT10" s="26">
        <v>1</v>
      </c>
      <c r="CU10" s="26">
        <v>1</v>
      </c>
      <c r="CV10" s="26">
        <v>1</v>
      </c>
      <c r="CW10" s="26">
        <v>1</v>
      </c>
      <c r="CX10" s="26">
        <v>1</v>
      </c>
      <c r="CY10" s="26">
        <v>1</v>
      </c>
      <c r="CZ10" s="26">
        <v>1</v>
      </c>
      <c r="DA10" s="26">
        <v>1</v>
      </c>
      <c r="DB10" s="26">
        <v>1</v>
      </c>
      <c r="DC10" s="26">
        <v>1</v>
      </c>
      <c r="DD10" s="26">
        <v>1</v>
      </c>
      <c r="DE10" s="29" t="s">
        <v>30</v>
      </c>
      <c r="DF10" s="26">
        <v>1</v>
      </c>
      <c r="DG10" s="26">
        <v>1</v>
      </c>
      <c r="DH10" s="26">
        <v>1</v>
      </c>
      <c r="DI10" s="26">
        <v>1</v>
      </c>
      <c r="DJ10" s="26">
        <v>1</v>
      </c>
      <c r="DK10" s="26">
        <v>1</v>
      </c>
      <c r="DL10" s="26">
        <v>1</v>
      </c>
      <c r="DM10" s="27">
        <v>1</v>
      </c>
      <c r="DN10" s="26">
        <v>1</v>
      </c>
      <c r="DO10" s="26">
        <v>1</v>
      </c>
      <c r="DP10" s="29" t="s">
        <v>45</v>
      </c>
      <c r="DQ10" s="26">
        <v>1</v>
      </c>
      <c r="DR10" s="26">
        <v>1</v>
      </c>
      <c r="DS10" s="26">
        <v>1</v>
      </c>
      <c r="DT10" s="26">
        <v>1</v>
      </c>
      <c r="DU10" s="26">
        <v>1</v>
      </c>
      <c r="DV10" s="26">
        <v>1</v>
      </c>
      <c r="DW10" s="26">
        <v>1</v>
      </c>
      <c r="DX10" s="26">
        <v>1</v>
      </c>
      <c r="DY10" s="26">
        <v>1</v>
      </c>
      <c r="DZ10" s="31" t="s">
        <v>19</v>
      </c>
      <c r="EA10" s="31" t="s">
        <v>19</v>
      </c>
      <c r="EB10" s="31" t="s">
        <v>19</v>
      </c>
      <c r="EC10" s="31" t="s">
        <v>19</v>
      </c>
      <c r="ED10" s="31" t="s">
        <v>19</v>
      </c>
      <c r="EE10" s="31" t="s">
        <v>19</v>
      </c>
      <c r="EF10" s="26">
        <v>1</v>
      </c>
      <c r="EG10" s="26">
        <v>1</v>
      </c>
      <c r="EH10" s="26">
        <v>1</v>
      </c>
      <c r="EI10" s="26">
        <v>1</v>
      </c>
      <c r="EJ10" s="26">
        <v>1</v>
      </c>
      <c r="EK10" s="26">
        <v>1</v>
      </c>
      <c r="EL10" s="26">
        <v>1</v>
      </c>
      <c r="EM10" s="26">
        <v>1</v>
      </c>
      <c r="EN10" s="26">
        <v>1</v>
      </c>
      <c r="EO10" s="26">
        <v>1</v>
      </c>
      <c r="EP10" s="26">
        <v>1</v>
      </c>
      <c r="EQ10" s="26">
        <v>1</v>
      </c>
      <c r="ER10" s="26">
        <v>1</v>
      </c>
      <c r="ES10" s="26">
        <v>1</v>
      </c>
      <c r="ET10" s="26">
        <v>1</v>
      </c>
      <c r="EU10" s="26">
        <v>1</v>
      </c>
      <c r="EV10" s="26">
        <v>1</v>
      </c>
      <c r="EW10" s="26">
        <v>1</v>
      </c>
      <c r="EX10" s="26">
        <v>1</v>
      </c>
      <c r="EY10" s="26">
        <v>1</v>
      </c>
      <c r="EZ10" s="26">
        <v>1</v>
      </c>
      <c r="FA10" s="26">
        <v>1</v>
      </c>
      <c r="FB10" s="26">
        <v>1</v>
      </c>
      <c r="FC10" s="26">
        <v>1</v>
      </c>
      <c r="FD10" s="26">
        <v>1</v>
      </c>
      <c r="FE10" s="26">
        <v>1</v>
      </c>
      <c r="FF10" s="26">
        <v>1</v>
      </c>
      <c r="FG10" s="26">
        <v>1</v>
      </c>
      <c r="FH10" s="26">
        <v>1</v>
      </c>
      <c r="FI10" s="26">
        <v>1</v>
      </c>
      <c r="FJ10" s="26">
        <v>1</v>
      </c>
      <c r="FK10" s="26">
        <v>1</v>
      </c>
      <c r="FL10" s="26">
        <v>1</v>
      </c>
      <c r="FM10" s="26">
        <v>1</v>
      </c>
      <c r="FN10" s="26">
        <v>1</v>
      </c>
      <c r="FO10" s="26">
        <v>1</v>
      </c>
      <c r="FP10" s="34" t="s">
        <v>20</v>
      </c>
      <c r="FQ10" s="34" t="s">
        <v>20</v>
      </c>
      <c r="FR10" s="34" t="s">
        <v>20</v>
      </c>
      <c r="FS10" s="34" t="s">
        <v>20</v>
      </c>
      <c r="FT10" s="34" t="s">
        <v>20</v>
      </c>
      <c r="FU10" s="34" t="s">
        <v>20</v>
      </c>
      <c r="FV10" s="73">
        <v>1</v>
      </c>
      <c r="FW10" s="73">
        <v>1</v>
      </c>
      <c r="FX10" s="73">
        <v>1</v>
      </c>
      <c r="FY10" s="26">
        <v>1</v>
      </c>
      <c r="FZ10" s="26">
        <v>1</v>
      </c>
      <c r="GA10" s="26">
        <v>1</v>
      </c>
      <c r="GB10" s="36">
        <v>1</v>
      </c>
      <c r="GC10" s="36">
        <v>1</v>
      </c>
      <c r="GD10" s="36">
        <v>1</v>
      </c>
      <c r="GE10" s="36">
        <v>1</v>
      </c>
      <c r="GF10" s="36">
        <v>1</v>
      </c>
      <c r="GG10" s="36">
        <v>1</v>
      </c>
      <c r="GH10" s="26">
        <v>1</v>
      </c>
      <c r="GI10" s="26">
        <v>1</v>
      </c>
      <c r="GJ10" s="26">
        <v>1</v>
      </c>
      <c r="GK10" s="26">
        <v>1</v>
      </c>
      <c r="GL10" s="26">
        <v>1</v>
      </c>
      <c r="GM10" s="26">
        <v>1</v>
      </c>
      <c r="GN10" s="26">
        <v>1</v>
      </c>
      <c r="GO10" s="26">
        <v>1</v>
      </c>
      <c r="GP10" s="26">
        <v>1</v>
      </c>
      <c r="GQ10" s="26">
        <v>1</v>
      </c>
      <c r="GR10" s="26">
        <v>1</v>
      </c>
      <c r="GS10" s="26">
        <v>1</v>
      </c>
      <c r="GT10" s="26">
        <v>1</v>
      </c>
      <c r="GU10" s="26">
        <v>1</v>
      </c>
      <c r="GV10" s="26">
        <v>1</v>
      </c>
      <c r="GW10" s="26">
        <v>1</v>
      </c>
      <c r="GX10" s="26">
        <v>1</v>
      </c>
      <c r="GY10" s="26">
        <v>1</v>
      </c>
      <c r="GZ10" s="26">
        <v>1</v>
      </c>
      <c r="HA10" s="26">
        <v>1</v>
      </c>
      <c r="HB10" s="26">
        <v>1</v>
      </c>
      <c r="HC10" s="26">
        <v>1</v>
      </c>
      <c r="HD10" s="29" t="s">
        <v>46</v>
      </c>
      <c r="HE10" s="26">
        <v>1</v>
      </c>
      <c r="HF10" s="34" t="s">
        <v>49</v>
      </c>
      <c r="HG10" s="34" t="s">
        <v>49</v>
      </c>
      <c r="HH10" s="34" t="s">
        <v>49</v>
      </c>
      <c r="HI10" s="34" t="s">
        <v>49</v>
      </c>
      <c r="HJ10" s="34" t="s">
        <v>49</v>
      </c>
      <c r="HK10" s="34" t="s">
        <v>49</v>
      </c>
      <c r="HL10" s="26">
        <v>1</v>
      </c>
      <c r="HM10" s="26">
        <v>1</v>
      </c>
      <c r="HN10" s="26">
        <v>1</v>
      </c>
      <c r="HO10" s="26">
        <v>1</v>
      </c>
      <c r="HP10" s="26">
        <v>1</v>
      </c>
      <c r="HQ10" s="26">
        <v>1</v>
      </c>
      <c r="HR10" s="26">
        <v>1</v>
      </c>
      <c r="HS10" s="26">
        <v>1</v>
      </c>
      <c r="HT10" s="26">
        <v>1</v>
      </c>
      <c r="HU10" s="26">
        <v>1</v>
      </c>
      <c r="HV10" s="26">
        <v>1</v>
      </c>
      <c r="HW10" s="26">
        <v>1</v>
      </c>
      <c r="HX10" s="26">
        <v>1</v>
      </c>
      <c r="HY10" s="26">
        <v>1</v>
      </c>
      <c r="HZ10" s="29" t="s">
        <v>22</v>
      </c>
      <c r="IA10" s="29" t="s">
        <v>22</v>
      </c>
      <c r="IB10" s="29" t="s">
        <v>22</v>
      </c>
      <c r="IC10" s="26">
        <v>1</v>
      </c>
      <c r="ID10" s="26">
        <v>1</v>
      </c>
      <c r="IE10" s="26">
        <v>1</v>
      </c>
      <c r="IF10" s="3" t="s">
        <v>21</v>
      </c>
      <c r="IG10" s="3" t="s">
        <v>21</v>
      </c>
      <c r="IH10" s="3" t="s">
        <v>21</v>
      </c>
      <c r="II10" s="3" t="s">
        <v>21</v>
      </c>
      <c r="IJ10" s="3" t="s">
        <v>21</v>
      </c>
      <c r="IK10" s="3" t="s">
        <v>21</v>
      </c>
      <c r="IL10" s="3" t="s">
        <v>21</v>
      </c>
      <c r="IM10" s="3" t="s">
        <v>21</v>
      </c>
      <c r="IN10" s="3" t="s">
        <v>21</v>
      </c>
      <c r="IO10" s="74"/>
      <c r="IP10" s="74"/>
      <c r="IQ10" s="29" t="s">
        <v>47</v>
      </c>
      <c r="IR10" s="74"/>
      <c r="IS10" s="74"/>
      <c r="IT10" s="74"/>
      <c r="IU10" s="26"/>
      <c r="IV10" s="26"/>
      <c r="IW10" s="26"/>
      <c r="IX10" s="26"/>
      <c r="IY10" s="27"/>
      <c r="IZ10" s="26"/>
      <c r="JA10" s="26"/>
      <c r="JB10" s="26"/>
      <c r="JC10" s="26"/>
      <c r="JD10" s="26"/>
      <c r="JE10" s="26"/>
      <c r="JF10" s="26"/>
      <c r="JG10" s="26"/>
      <c r="JH10" s="36"/>
      <c r="JI10" s="36"/>
      <c r="JJ10" s="36"/>
      <c r="JK10" s="36"/>
      <c r="JL10" s="36"/>
      <c r="JM10" s="36"/>
      <c r="JN10" s="26"/>
      <c r="JO10" s="26"/>
      <c r="JP10" s="26"/>
      <c r="JQ10" s="26"/>
      <c r="JR10" s="26"/>
      <c r="JS10" s="26"/>
      <c r="JT10" s="7">
        <f>+SUMIF(E10:JL10,1)</f>
        <v>195</v>
      </c>
      <c r="JU10" s="7">
        <f t="shared" si="14"/>
        <v>0</v>
      </c>
      <c r="JV10" s="7">
        <f t="shared" si="15"/>
        <v>0</v>
      </c>
      <c r="JW10" s="20">
        <f t="shared" si="12"/>
        <v>32.5</v>
      </c>
      <c r="JX10" s="7"/>
      <c r="JY10" s="17">
        <f t="shared" si="13"/>
        <v>9</v>
      </c>
      <c r="JZ10" s="8">
        <f>JY10/JT10</f>
        <v>4.6153846153846156E-2</v>
      </c>
      <c r="KA10" s="6" t="s">
        <v>43</v>
      </c>
    </row>
    <row r="11" spans="1:287" ht="18.75" x14ac:dyDescent="0.25">
      <c r="A11" s="6" t="s">
        <v>44</v>
      </c>
      <c r="B11" s="7" t="s">
        <v>14</v>
      </c>
      <c r="C11" s="8">
        <f t="shared" si="11"/>
        <v>4.6632124352331605E-2</v>
      </c>
      <c r="D11" s="26"/>
      <c r="E11" s="26"/>
      <c r="F11" s="26"/>
      <c r="G11" s="29" t="s">
        <v>15</v>
      </c>
      <c r="H11" s="29" t="s">
        <v>15</v>
      </c>
      <c r="I11" s="26"/>
      <c r="J11" s="26"/>
      <c r="K11" s="26"/>
      <c r="L11" s="26"/>
      <c r="M11" s="26">
        <v>1</v>
      </c>
      <c r="N11" s="26">
        <v>1</v>
      </c>
      <c r="O11" s="26">
        <v>1</v>
      </c>
      <c r="P11" s="26">
        <v>1</v>
      </c>
      <c r="Q11" s="26">
        <v>1</v>
      </c>
      <c r="R11" s="26">
        <v>1</v>
      </c>
      <c r="S11" s="26">
        <v>1</v>
      </c>
      <c r="T11" s="26">
        <v>1</v>
      </c>
      <c r="U11" s="26">
        <v>1</v>
      </c>
      <c r="V11" s="26">
        <v>1</v>
      </c>
      <c r="W11" s="26">
        <v>1</v>
      </c>
      <c r="X11" s="26">
        <v>1</v>
      </c>
      <c r="Y11" s="26">
        <v>1</v>
      </c>
      <c r="Z11" s="26">
        <v>1</v>
      </c>
      <c r="AA11" s="26">
        <v>1</v>
      </c>
      <c r="AB11" s="26">
        <v>1</v>
      </c>
      <c r="AC11" s="26">
        <v>1</v>
      </c>
      <c r="AD11" s="26">
        <v>1</v>
      </c>
      <c r="AE11" s="26">
        <v>1</v>
      </c>
      <c r="AF11" s="26">
        <v>1</v>
      </c>
      <c r="AG11" s="26">
        <v>1</v>
      </c>
      <c r="AH11" s="26">
        <v>1</v>
      </c>
      <c r="AI11" s="26">
        <v>1</v>
      </c>
      <c r="AJ11" s="26">
        <v>1</v>
      </c>
      <c r="AK11" s="26">
        <v>1</v>
      </c>
      <c r="AL11" s="26">
        <v>1</v>
      </c>
      <c r="AM11" s="26">
        <v>1</v>
      </c>
      <c r="AN11" s="26">
        <v>1</v>
      </c>
      <c r="AO11" s="26">
        <v>1</v>
      </c>
      <c r="AP11" s="26">
        <v>1</v>
      </c>
      <c r="AQ11" s="26">
        <v>1</v>
      </c>
      <c r="AR11" s="26">
        <v>1</v>
      </c>
      <c r="AS11" s="26">
        <v>1</v>
      </c>
      <c r="AT11" s="26">
        <v>1</v>
      </c>
      <c r="AU11" s="26">
        <v>1</v>
      </c>
      <c r="AV11" s="26">
        <v>1</v>
      </c>
      <c r="AW11" s="26">
        <v>1</v>
      </c>
      <c r="AX11" s="26">
        <v>1</v>
      </c>
      <c r="AY11" s="26">
        <v>1</v>
      </c>
      <c r="AZ11" s="26">
        <v>1</v>
      </c>
      <c r="BA11" s="26">
        <v>1</v>
      </c>
      <c r="BB11" s="26">
        <v>1</v>
      </c>
      <c r="BC11" s="26">
        <v>1</v>
      </c>
      <c r="BD11" s="26">
        <v>1</v>
      </c>
      <c r="BE11" s="26">
        <v>1</v>
      </c>
      <c r="BF11" s="26">
        <v>1</v>
      </c>
      <c r="BG11" s="26">
        <v>1</v>
      </c>
      <c r="BH11" s="26">
        <v>1</v>
      </c>
      <c r="BI11" s="29" t="s">
        <v>16</v>
      </c>
      <c r="BJ11" s="26">
        <v>1</v>
      </c>
      <c r="BK11" s="26">
        <v>1</v>
      </c>
      <c r="BL11" s="26">
        <v>1</v>
      </c>
      <c r="BM11" s="26">
        <v>1</v>
      </c>
      <c r="BN11" s="26">
        <v>1</v>
      </c>
      <c r="BO11" s="26">
        <v>1</v>
      </c>
      <c r="BP11" s="26">
        <v>1</v>
      </c>
      <c r="BQ11" s="26">
        <v>1</v>
      </c>
      <c r="BR11" s="26">
        <v>1</v>
      </c>
      <c r="BS11" s="29" t="s">
        <v>17</v>
      </c>
      <c r="BT11" s="26">
        <v>1</v>
      </c>
      <c r="BU11" s="26">
        <v>1</v>
      </c>
      <c r="BV11" s="26">
        <v>1</v>
      </c>
      <c r="BW11" s="26">
        <v>1</v>
      </c>
      <c r="BX11" s="26">
        <v>1</v>
      </c>
      <c r="BY11" s="26">
        <v>1</v>
      </c>
      <c r="BZ11" s="26">
        <v>1</v>
      </c>
      <c r="CA11" s="26">
        <v>1</v>
      </c>
      <c r="CB11" s="26">
        <v>1</v>
      </c>
      <c r="CC11" s="26">
        <v>1</v>
      </c>
      <c r="CD11" s="36">
        <v>1</v>
      </c>
      <c r="CE11" s="36">
        <v>1</v>
      </c>
      <c r="CF11" s="36">
        <v>1</v>
      </c>
      <c r="CG11" s="36">
        <v>1</v>
      </c>
      <c r="CH11" s="36">
        <v>1</v>
      </c>
      <c r="CI11" s="36">
        <v>1</v>
      </c>
      <c r="CJ11" s="34" t="s">
        <v>18</v>
      </c>
      <c r="CK11" s="34" t="s">
        <v>18</v>
      </c>
      <c r="CL11" s="34" t="s">
        <v>18</v>
      </c>
      <c r="CM11" s="34" t="s">
        <v>18</v>
      </c>
      <c r="CN11" s="34" t="s">
        <v>18</v>
      </c>
      <c r="CO11" s="34" t="s">
        <v>18</v>
      </c>
      <c r="CP11" s="26">
        <v>1</v>
      </c>
      <c r="CQ11" s="26">
        <v>1</v>
      </c>
      <c r="CR11" s="26">
        <v>1</v>
      </c>
      <c r="CS11" s="26">
        <v>1</v>
      </c>
      <c r="CT11" s="26">
        <v>1</v>
      </c>
      <c r="CU11" s="26">
        <v>1</v>
      </c>
      <c r="CV11" s="26">
        <v>1</v>
      </c>
      <c r="CW11" s="26">
        <v>1</v>
      </c>
      <c r="CX11" s="26">
        <v>1</v>
      </c>
      <c r="CY11" s="26">
        <v>1</v>
      </c>
      <c r="CZ11" s="26">
        <v>1</v>
      </c>
      <c r="DA11" s="26">
        <v>1</v>
      </c>
      <c r="DB11" s="26">
        <v>1</v>
      </c>
      <c r="DC11" s="26">
        <v>1</v>
      </c>
      <c r="DD11" s="26">
        <v>1</v>
      </c>
      <c r="DE11" s="29" t="s">
        <v>30</v>
      </c>
      <c r="DF11" s="26">
        <v>1</v>
      </c>
      <c r="DG11" s="26">
        <v>1</v>
      </c>
      <c r="DH11" s="26">
        <v>1</v>
      </c>
      <c r="DI11" s="26">
        <v>1</v>
      </c>
      <c r="DJ11" s="26">
        <v>1</v>
      </c>
      <c r="DK11" s="26">
        <v>1</v>
      </c>
      <c r="DL11" s="26">
        <v>1</v>
      </c>
      <c r="DM11" s="27">
        <v>1</v>
      </c>
      <c r="DN11" s="26">
        <v>1</v>
      </c>
      <c r="DO11" s="26">
        <v>1</v>
      </c>
      <c r="DP11" s="29" t="s">
        <v>45</v>
      </c>
      <c r="DQ11" s="26">
        <v>1</v>
      </c>
      <c r="DR11" s="26">
        <v>1</v>
      </c>
      <c r="DS11" s="26">
        <v>1</v>
      </c>
      <c r="DT11" s="26">
        <v>1</v>
      </c>
      <c r="DU11" s="26">
        <v>1</v>
      </c>
      <c r="DV11" s="26">
        <v>1</v>
      </c>
      <c r="DW11" s="26">
        <v>1</v>
      </c>
      <c r="DX11" s="26">
        <v>1</v>
      </c>
      <c r="DY11" s="26">
        <v>1</v>
      </c>
      <c r="DZ11" s="31" t="s">
        <v>19</v>
      </c>
      <c r="EA11" s="31" t="s">
        <v>19</v>
      </c>
      <c r="EB11" s="31" t="s">
        <v>19</v>
      </c>
      <c r="EC11" s="31" t="s">
        <v>19</v>
      </c>
      <c r="ED11" s="31" t="s">
        <v>19</v>
      </c>
      <c r="EE11" s="31" t="s">
        <v>19</v>
      </c>
      <c r="EF11" s="26">
        <v>1</v>
      </c>
      <c r="EG11" s="26">
        <v>1</v>
      </c>
      <c r="EH11" s="26">
        <v>1</v>
      </c>
      <c r="EI11" s="26">
        <v>1</v>
      </c>
      <c r="EJ11" s="26">
        <v>1</v>
      </c>
      <c r="EK11" s="26">
        <v>1</v>
      </c>
      <c r="EL11" s="26">
        <v>1</v>
      </c>
      <c r="EM11" s="26">
        <v>1</v>
      </c>
      <c r="EN11" s="26">
        <v>1</v>
      </c>
      <c r="EO11" s="26">
        <v>1</v>
      </c>
      <c r="EP11" s="26">
        <v>1</v>
      </c>
      <c r="EQ11" s="26">
        <v>1</v>
      </c>
      <c r="ER11" s="26">
        <v>1</v>
      </c>
      <c r="ES11" s="26">
        <v>1</v>
      </c>
      <c r="ET11" s="26">
        <v>1</v>
      </c>
      <c r="EU11" s="26">
        <v>1</v>
      </c>
      <c r="EV11" s="26">
        <v>1</v>
      </c>
      <c r="EW11" s="26">
        <v>1</v>
      </c>
      <c r="EX11" s="26">
        <v>1</v>
      </c>
      <c r="EY11" s="26">
        <v>1</v>
      </c>
      <c r="EZ11" s="26">
        <v>1</v>
      </c>
      <c r="FA11" s="26">
        <v>1</v>
      </c>
      <c r="FB11" s="26">
        <v>1</v>
      </c>
      <c r="FC11" s="26">
        <v>1</v>
      </c>
      <c r="FD11" s="26">
        <v>1</v>
      </c>
      <c r="FE11" s="26">
        <v>1</v>
      </c>
      <c r="FF11" s="26">
        <v>1</v>
      </c>
      <c r="FG11" s="26">
        <v>1</v>
      </c>
      <c r="FH11" s="26">
        <v>1</v>
      </c>
      <c r="FI11" s="26">
        <v>1</v>
      </c>
      <c r="FJ11" s="26">
        <v>1</v>
      </c>
      <c r="FK11" s="26">
        <v>1</v>
      </c>
      <c r="FL11" s="26">
        <v>1</v>
      </c>
      <c r="FM11" s="26">
        <v>1</v>
      </c>
      <c r="FN11" s="26">
        <v>1</v>
      </c>
      <c r="FO11" s="26">
        <v>1</v>
      </c>
      <c r="FP11" s="34" t="s">
        <v>20</v>
      </c>
      <c r="FQ11" s="34" t="s">
        <v>20</v>
      </c>
      <c r="FR11" s="34" t="s">
        <v>20</v>
      </c>
      <c r="FS11" s="34" t="s">
        <v>20</v>
      </c>
      <c r="FT11" s="34" t="s">
        <v>20</v>
      </c>
      <c r="FU11" s="34" t="s">
        <v>20</v>
      </c>
      <c r="FV11" s="73">
        <v>1</v>
      </c>
      <c r="FW11" s="73">
        <v>1</v>
      </c>
      <c r="FX11" s="73">
        <v>1</v>
      </c>
      <c r="FY11" s="26">
        <v>1</v>
      </c>
      <c r="FZ11" s="26">
        <v>1</v>
      </c>
      <c r="GA11" s="26">
        <v>1</v>
      </c>
      <c r="GB11" s="36">
        <v>1</v>
      </c>
      <c r="GC11" s="36">
        <v>1</v>
      </c>
      <c r="GD11" s="36">
        <v>1</v>
      </c>
      <c r="GE11" s="36">
        <v>1</v>
      </c>
      <c r="GF11" s="36">
        <v>1</v>
      </c>
      <c r="GG11" s="36">
        <v>1</v>
      </c>
      <c r="GH11" s="26">
        <v>1</v>
      </c>
      <c r="GI11" s="26">
        <v>1</v>
      </c>
      <c r="GJ11" s="26">
        <v>1</v>
      </c>
      <c r="GK11" s="26">
        <v>1</v>
      </c>
      <c r="GL11" s="26">
        <v>1</v>
      </c>
      <c r="GM11" s="26">
        <v>1</v>
      </c>
      <c r="GN11" s="26">
        <v>1</v>
      </c>
      <c r="GO11" s="26">
        <v>1</v>
      </c>
      <c r="GP11" s="26">
        <v>1</v>
      </c>
      <c r="GQ11" s="26">
        <v>1</v>
      </c>
      <c r="GR11" s="26">
        <v>1</v>
      </c>
      <c r="GS11" s="26">
        <v>1</v>
      </c>
      <c r="GT11" s="26">
        <v>1</v>
      </c>
      <c r="GU11" s="26">
        <v>1</v>
      </c>
      <c r="GV11" s="26">
        <v>1</v>
      </c>
      <c r="GW11" s="26">
        <v>1</v>
      </c>
      <c r="GX11" s="26">
        <v>1</v>
      </c>
      <c r="GY11" s="26">
        <v>1</v>
      </c>
      <c r="GZ11" s="26">
        <v>1</v>
      </c>
      <c r="HA11" s="26">
        <v>1</v>
      </c>
      <c r="HB11" s="26">
        <v>1</v>
      </c>
      <c r="HC11" s="26">
        <v>1</v>
      </c>
      <c r="HD11" s="29" t="s">
        <v>46</v>
      </c>
      <c r="HE11" s="26">
        <v>1</v>
      </c>
      <c r="HF11" s="34" t="s">
        <v>49</v>
      </c>
      <c r="HG11" s="34" t="s">
        <v>49</v>
      </c>
      <c r="HH11" s="34" t="s">
        <v>49</v>
      </c>
      <c r="HI11" s="34" t="s">
        <v>49</v>
      </c>
      <c r="HJ11" s="34" t="s">
        <v>49</v>
      </c>
      <c r="HK11" s="34" t="s">
        <v>49</v>
      </c>
      <c r="HL11" s="26">
        <v>1</v>
      </c>
      <c r="HM11" s="26">
        <v>1</v>
      </c>
      <c r="HN11" s="26">
        <v>1</v>
      </c>
      <c r="HO11" s="26">
        <v>1</v>
      </c>
      <c r="HP11" s="26">
        <v>1</v>
      </c>
      <c r="HQ11" s="26">
        <v>1</v>
      </c>
      <c r="HR11" s="26">
        <v>1</v>
      </c>
      <c r="HS11" s="26">
        <v>1</v>
      </c>
      <c r="HT11" s="26">
        <v>1</v>
      </c>
      <c r="HU11" s="26">
        <v>1</v>
      </c>
      <c r="HV11" s="26">
        <v>1</v>
      </c>
      <c r="HW11" s="26">
        <v>1</v>
      </c>
      <c r="HX11" s="26">
        <v>1</v>
      </c>
      <c r="HY11" s="26">
        <v>1</v>
      </c>
      <c r="HZ11" s="29" t="s">
        <v>22</v>
      </c>
      <c r="IA11" s="29" t="s">
        <v>22</v>
      </c>
      <c r="IB11" s="29" t="s">
        <v>22</v>
      </c>
      <c r="IC11" s="26">
        <v>1</v>
      </c>
      <c r="ID11" s="39" t="s">
        <v>24</v>
      </c>
      <c r="IE11" s="39" t="s">
        <v>24</v>
      </c>
      <c r="IF11" s="3" t="s">
        <v>21</v>
      </c>
      <c r="IG11" s="3" t="s">
        <v>21</v>
      </c>
      <c r="IH11" s="3" t="s">
        <v>21</v>
      </c>
      <c r="II11" s="3" t="s">
        <v>21</v>
      </c>
      <c r="IJ11" s="3" t="s">
        <v>21</v>
      </c>
      <c r="IK11" s="3" t="s">
        <v>21</v>
      </c>
      <c r="IL11" s="3" t="s">
        <v>21</v>
      </c>
      <c r="IM11" s="3" t="s">
        <v>21</v>
      </c>
      <c r="IN11" s="3" t="s">
        <v>21</v>
      </c>
      <c r="IO11" s="39" t="s">
        <v>24</v>
      </c>
      <c r="IP11" s="39" t="s">
        <v>24</v>
      </c>
      <c r="IQ11" s="29" t="s">
        <v>47</v>
      </c>
      <c r="IR11" s="39" t="s">
        <v>24</v>
      </c>
      <c r="IS11" s="39" t="s">
        <v>24</v>
      </c>
      <c r="IT11" s="39" t="s">
        <v>24</v>
      </c>
      <c r="IU11" s="39" t="s">
        <v>24</v>
      </c>
      <c r="IV11" s="39" t="s">
        <v>24</v>
      </c>
      <c r="IW11" s="39" t="s">
        <v>24</v>
      </c>
      <c r="IX11" s="39" t="s">
        <v>24</v>
      </c>
      <c r="IY11" s="39" t="s">
        <v>24</v>
      </c>
      <c r="IZ11" s="39" t="s">
        <v>24</v>
      </c>
      <c r="JA11" s="39" t="s">
        <v>24</v>
      </c>
      <c r="JB11" s="39" t="s">
        <v>24</v>
      </c>
      <c r="JC11" s="39" t="s">
        <v>24</v>
      </c>
      <c r="JD11" s="26"/>
      <c r="JE11" s="26"/>
      <c r="JF11" s="26"/>
      <c r="JG11" s="26"/>
      <c r="JH11" s="36"/>
      <c r="JI11" s="36"/>
      <c r="JJ11" s="36"/>
      <c r="JK11" s="36"/>
      <c r="JL11" s="36"/>
      <c r="JM11" s="36"/>
      <c r="JN11" s="26"/>
      <c r="JO11" s="26"/>
      <c r="JP11" s="26"/>
      <c r="JQ11" s="26"/>
      <c r="JR11" s="26"/>
      <c r="JS11" s="26"/>
      <c r="JT11" s="7">
        <f t="shared" ref="JT11:JT18" si="16">+SUMIF(E11:JL11,1)</f>
        <v>193</v>
      </c>
      <c r="JU11" s="7">
        <f t="shared" si="14"/>
        <v>3</v>
      </c>
      <c r="JV11" s="7">
        <f t="shared" si="15"/>
        <v>0</v>
      </c>
      <c r="JW11" s="20">
        <f t="shared" si="12"/>
        <v>32.166666666666664</v>
      </c>
      <c r="JX11" s="7"/>
      <c r="JY11" s="17">
        <f t="shared" si="13"/>
        <v>9</v>
      </c>
      <c r="JZ11" s="8">
        <f t="shared" ref="JZ11:JZ18" si="17">JY11/JT11</f>
        <v>4.6632124352331605E-2</v>
      </c>
      <c r="KA11" s="6" t="s">
        <v>44</v>
      </c>
    </row>
    <row r="12" spans="1:287" ht="18.75" x14ac:dyDescent="0.25">
      <c r="A12" s="6" t="s">
        <v>40</v>
      </c>
      <c r="B12" s="7" t="s">
        <v>29</v>
      </c>
      <c r="C12" s="8">
        <f t="shared" si="11"/>
        <v>0</v>
      </c>
      <c r="D12" s="26"/>
      <c r="E12" s="26"/>
      <c r="F12" s="26"/>
      <c r="G12" s="29" t="s">
        <v>15</v>
      </c>
      <c r="H12" s="29" t="s">
        <v>15</v>
      </c>
      <c r="I12" s="39" t="s">
        <v>24</v>
      </c>
      <c r="J12" s="39" t="s">
        <v>24</v>
      </c>
      <c r="K12" s="39" t="s">
        <v>24</v>
      </c>
      <c r="L12" s="39" t="s">
        <v>24</v>
      </c>
      <c r="M12" s="39" t="s">
        <v>24</v>
      </c>
      <c r="N12" s="39" t="s">
        <v>24</v>
      </c>
      <c r="O12" s="39" t="s">
        <v>24</v>
      </c>
      <c r="P12" s="39" t="s">
        <v>24</v>
      </c>
      <c r="Q12" s="39" t="s">
        <v>24</v>
      </c>
      <c r="R12" s="39" t="s">
        <v>24</v>
      </c>
      <c r="S12" s="39" t="s">
        <v>24</v>
      </c>
      <c r="T12" s="39" t="s">
        <v>24</v>
      </c>
      <c r="U12" s="39" t="s">
        <v>24</v>
      </c>
      <c r="V12" s="39" t="s">
        <v>24</v>
      </c>
      <c r="W12" s="39" t="s">
        <v>24</v>
      </c>
      <c r="X12" s="39" t="s">
        <v>24</v>
      </c>
      <c r="Y12" s="39" t="s">
        <v>24</v>
      </c>
      <c r="Z12" s="39" t="s">
        <v>24</v>
      </c>
      <c r="AA12" s="39" t="s">
        <v>24</v>
      </c>
      <c r="AB12" s="39" t="s">
        <v>24</v>
      </c>
      <c r="AC12" s="39" t="s">
        <v>24</v>
      </c>
      <c r="AD12" s="26">
        <v>1</v>
      </c>
      <c r="AE12" s="26">
        <v>1</v>
      </c>
      <c r="AF12" s="26">
        <v>1</v>
      </c>
      <c r="AG12" s="26">
        <v>1</v>
      </c>
      <c r="AH12" s="26">
        <v>1</v>
      </c>
      <c r="AI12" s="26">
        <v>1</v>
      </c>
      <c r="AJ12" s="26">
        <v>1</v>
      </c>
      <c r="AK12" s="26">
        <v>1</v>
      </c>
      <c r="AL12" s="26">
        <v>1</v>
      </c>
      <c r="AM12" s="26">
        <v>1</v>
      </c>
      <c r="AN12" s="26">
        <v>1</v>
      </c>
      <c r="AO12" s="26">
        <v>1</v>
      </c>
      <c r="AP12" s="26">
        <v>1</v>
      </c>
      <c r="AQ12" s="26">
        <v>1</v>
      </c>
      <c r="AR12" s="26">
        <v>1</v>
      </c>
      <c r="AS12" s="26">
        <v>1</v>
      </c>
      <c r="AT12" s="26">
        <v>1</v>
      </c>
      <c r="AU12" s="26">
        <v>1</v>
      </c>
      <c r="AV12" s="26">
        <v>1</v>
      </c>
      <c r="AW12" s="26">
        <v>1</v>
      </c>
      <c r="AX12" s="26">
        <v>1</v>
      </c>
      <c r="AY12" s="26">
        <v>1</v>
      </c>
      <c r="AZ12" s="26">
        <v>1</v>
      </c>
      <c r="BA12" s="26">
        <v>1</v>
      </c>
      <c r="BB12" s="26">
        <v>1</v>
      </c>
      <c r="BC12" s="26">
        <v>1</v>
      </c>
      <c r="BD12" s="26">
        <v>1</v>
      </c>
      <c r="BE12" s="26">
        <v>1</v>
      </c>
      <c r="BF12" s="39" t="s">
        <v>24</v>
      </c>
      <c r="BG12" s="39" t="s">
        <v>24</v>
      </c>
      <c r="BH12" s="39" t="s">
        <v>24</v>
      </c>
      <c r="BI12" s="29" t="s">
        <v>16</v>
      </c>
      <c r="BJ12" s="39" t="s">
        <v>24</v>
      </c>
      <c r="BK12" s="39" t="s">
        <v>24</v>
      </c>
      <c r="BL12" s="39" t="s">
        <v>24</v>
      </c>
      <c r="BM12" s="39" t="s">
        <v>24</v>
      </c>
      <c r="BN12" s="39" t="s">
        <v>24</v>
      </c>
      <c r="BO12" s="39" t="s">
        <v>24</v>
      </c>
      <c r="BP12" s="39" t="s">
        <v>24</v>
      </c>
      <c r="BQ12" s="39" t="s">
        <v>24</v>
      </c>
      <c r="BR12" s="39" t="s">
        <v>24</v>
      </c>
      <c r="BS12" s="29" t="s">
        <v>17</v>
      </c>
      <c r="BT12" s="39" t="s">
        <v>24</v>
      </c>
      <c r="BU12" s="39" t="s">
        <v>24</v>
      </c>
      <c r="BV12" s="39" t="s">
        <v>24</v>
      </c>
      <c r="BW12" s="39" t="s">
        <v>24</v>
      </c>
      <c r="BX12" s="39" t="s">
        <v>24</v>
      </c>
      <c r="BY12" s="39" t="s">
        <v>24</v>
      </c>
      <c r="BZ12" s="39" t="s">
        <v>24</v>
      </c>
      <c r="CA12" s="39" t="s">
        <v>24</v>
      </c>
      <c r="CB12" s="39" t="s">
        <v>24</v>
      </c>
      <c r="CC12" s="39" t="s">
        <v>24</v>
      </c>
      <c r="CD12" s="36">
        <v>1</v>
      </c>
      <c r="CE12" s="36">
        <v>1</v>
      </c>
      <c r="CF12" s="36">
        <v>1</v>
      </c>
      <c r="CG12" s="36">
        <v>1</v>
      </c>
      <c r="CH12" s="36">
        <v>1</v>
      </c>
      <c r="CI12" s="36">
        <v>1</v>
      </c>
      <c r="CJ12" s="34" t="s">
        <v>18</v>
      </c>
      <c r="CK12" s="34" t="s">
        <v>18</v>
      </c>
      <c r="CL12" s="34" t="s">
        <v>18</v>
      </c>
      <c r="CM12" s="34" t="s">
        <v>18</v>
      </c>
      <c r="CN12" s="34" t="s">
        <v>18</v>
      </c>
      <c r="CO12" s="34" t="s">
        <v>18</v>
      </c>
      <c r="CP12" s="26">
        <v>1</v>
      </c>
      <c r="CQ12" s="26">
        <v>1</v>
      </c>
      <c r="CR12" s="26">
        <v>1</v>
      </c>
      <c r="CS12" s="26">
        <v>1</v>
      </c>
      <c r="CT12" s="26">
        <v>1</v>
      </c>
      <c r="CU12" s="26">
        <v>1</v>
      </c>
      <c r="CV12" s="26">
        <v>1</v>
      </c>
      <c r="CW12" s="26">
        <v>1</v>
      </c>
      <c r="CX12" s="26">
        <v>1</v>
      </c>
      <c r="CY12" s="26">
        <v>1</v>
      </c>
      <c r="CZ12" s="26">
        <v>1</v>
      </c>
      <c r="DA12" s="26">
        <v>1</v>
      </c>
      <c r="DB12" s="26">
        <v>1</v>
      </c>
      <c r="DC12" s="26">
        <v>1</v>
      </c>
      <c r="DD12" s="26">
        <v>1</v>
      </c>
      <c r="DE12" s="29" t="s">
        <v>30</v>
      </c>
      <c r="DF12" s="39" t="s">
        <v>24</v>
      </c>
      <c r="DG12" s="39" t="s">
        <v>24</v>
      </c>
      <c r="DH12" s="39" t="s">
        <v>24</v>
      </c>
      <c r="DI12" s="39" t="s">
        <v>24</v>
      </c>
      <c r="DJ12" s="39" t="s">
        <v>24</v>
      </c>
      <c r="DK12" s="39" t="s">
        <v>24</v>
      </c>
      <c r="DL12" s="39" t="s">
        <v>24</v>
      </c>
      <c r="DM12" s="39" t="s">
        <v>24</v>
      </c>
      <c r="DN12" s="39" t="s">
        <v>24</v>
      </c>
      <c r="DO12" s="39" t="s">
        <v>24</v>
      </c>
      <c r="DP12" s="29" t="s">
        <v>45</v>
      </c>
      <c r="DQ12" s="39" t="s">
        <v>24</v>
      </c>
      <c r="DR12" s="39" t="s">
        <v>24</v>
      </c>
      <c r="DS12" s="39" t="s">
        <v>24</v>
      </c>
      <c r="DT12" s="39" t="s">
        <v>24</v>
      </c>
      <c r="DU12" s="39" t="s">
        <v>24</v>
      </c>
      <c r="DV12" s="39" t="s">
        <v>24</v>
      </c>
      <c r="DW12" s="39" t="s">
        <v>24</v>
      </c>
      <c r="DX12" s="39" t="s">
        <v>24</v>
      </c>
      <c r="DY12" s="39" t="s">
        <v>24</v>
      </c>
      <c r="DZ12" s="31" t="s">
        <v>19</v>
      </c>
      <c r="EA12" s="31" t="s">
        <v>19</v>
      </c>
      <c r="EB12" s="31" t="s">
        <v>19</v>
      </c>
      <c r="EC12" s="31" t="s">
        <v>19</v>
      </c>
      <c r="ED12" s="31" t="s">
        <v>19</v>
      </c>
      <c r="EE12" s="31" t="s">
        <v>19</v>
      </c>
      <c r="EF12" s="26">
        <v>1</v>
      </c>
      <c r="EG12" s="26">
        <v>1</v>
      </c>
      <c r="EH12" s="26">
        <v>1</v>
      </c>
      <c r="EI12" s="26">
        <v>1</v>
      </c>
      <c r="EJ12" s="26">
        <v>1</v>
      </c>
      <c r="EK12" s="26">
        <v>1</v>
      </c>
      <c r="EL12" s="26">
        <v>1</v>
      </c>
      <c r="EM12" s="26">
        <v>1</v>
      </c>
      <c r="EN12" s="26">
        <v>1</v>
      </c>
      <c r="EO12" s="26">
        <v>1</v>
      </c>
      <c r="EP12" s="26">
        <v>1</v>
      </c>
      <c r="EQ12" s="26">
        <v>1</v>
      </c>
      <c r="ER12" s="26">
        <v>1</v>
      </c>
      <c r="ES12" s="26">
        <v>1</v>
      </c>
      <c r="ET12" s="26">
        <v>1</v>
      </c>
      <c r="EU12" s="26">
        <v>1</v>
      </c>
      <c r="EV12" s="26">
        <v>1</v>
      </c>
      <c r="EW12" s="26">
        <v>1</v>
      </c>
      <c r="EX12" s="26">
        <v>1</v>
      </c>
      <c r="EY12" s="26">
        <v>1</v>
      </c>
      <c r="EZ12" s="26">
        <v>1</v>
      </c>
      <c r="FA12" s="26">
        <v>1</v>
      </c>
      <c r="FB12" s="26">
        <v>1</v>
      </c>
      <c r="FC12" s="26">
        <v>1</v>
      </c>
      <c r="FD12" s="40" t="s">
        <v>24</v>
      </c>
      <c r="FE12" s="40" t="s">
        <v>24</v>
      </c>
      <c r="FF12" s="40" t="s">
        <v>24</v>
      </c>
      <c r="FG12" s="40" t="s">
        <v>24</v>
      </c>
      <c r="FH12" s="40" t="s">
        <v>24</v>
      </c>
      <c r="FI12" s="40" t="s">
        <v>24</v>
      </c>
      <c r="FJ12" s="40" t="s">
        <v>24</v>
      </c>
      <c r="FK12" s="40" t="s">
        <v>24</v>
      </c>
      <c r="FL12" s="40" t="s">
        <v>24</v>
      </c>
      <c r="FM12" s="40" t="s">
        <v>24</v>
      </c>
      <c r="FN12" s="40" t="s">
        <v>24</v>
      </c>
      <c r="FO12" s="40" t="s">
        <v>24</v>
      </c>
      <c r="FP12" s="34" t="s">
        <v>20</v>
      </c>
      <c r="FQ12" s="34" t="s">
        <v>20</v>
      </c>
      <c r="FR12" s="34" t="s">
        <v>20</v>
      </c>
      <c r="FS12" s="34" t="s">
        <v>20</v>
      </c>
      <c r="FT12" s="34" t="s">
        <v>20</v>
      </c>
      <c r="FU12" s="34" t="s">
        <v>20</v>
      </c>
      <c r="FV12" s="40" t="s">
        <v>24</v>
      </c>
      <c r="FW12" s="40" t="s">
        <v>24</v>
      </c>
      <c r="FX12" s="40" t="s">
        <v>24</v>
      </c>
      <c r="FY12" s="40" t="s">
        <v>24</v>
      </c>
      <c r="FZ12" s="40" t="s">
        <v>24</v>
      </c>
      <c r="GA12" s="40" t="s">
        <v>24</v>
      </c>
      <c r="GB12" s="40" t="s">
        <v>24</v>
      </c>
      <c r="GC12" s="40" t="s">
        <v>24</v>
      </c>
      <c r="GD12" s="36">
        <v>1</v>
      </c>
      <c r="GE12" s="36">
        <v>1</v>
      </c>
      <c r="GF12" s="36">
        <v>1</v>
      </c>
      <c r="GG12" s="36">
        <v>1</v>
      </c>
      <c r="GH12" s="26">
        <v>1</v>
      </c>
      <c r="GI12" s="26">
        <v>1</v>
      </c>
      <c r="GJ12" s="26">
        <v>1</v>
      </c>
      <c r="GK12" s="26">
        <v>1</v>
      </c>
      <c r="GL12" s="26">
        <v>1</v>
      </c>
      <c r="GM12" s="26">
        <v>1</v>
      </c>
      <c r="GN12" s="26">
        <v>1</v>
      </c>
      <c r="GO12" s="26">
        <v>1</v>
      </c>
      <c r="GP12" s="26">
        <v>1</v>
      </c>
      <c r="GQ12" s="26">
        <v>1</v>
      </c>
      <c r="GR12" s="26">
        <v>1</v>
      </c>
      <c r="GS12" s="26">
        <v>1</v>
      </c>
      <c r="GT12" s="26">
        <v>1</v>
      </c>
      <c r="GU12" s="26">
        <v>1</v>
      </c>
      <c r="GV12" s="26">
        <v>1</v>
      </c>
      <c r="GW12" s="26">
        <v>1</v>
      </c>
      <c r="GX12" s="26">
        <v>1</v>
      </c>
      <c r="GY12" s="26">
        <v>1</v>
      </c>
      <c r="GZ12" s="26">
        <v>1</v>
      </c>
      <c r="HA12" s="26">
        <v>1</v>
      </c>
      <c r="HB12" s="26">
        <v>1</v>
      </c>
      <c r="HC12" s="26">
        <v>1</v>
      </c>
      <c r="HD12" s="29" t="s">
        <v>46</v>
      </c>
      <c r="HE12" s="39" t="s">
        <v>24</v>
      </c>
      <c r="HF12" s="34" t="s">
        <v>49</v>
      </c>
      <c r="HG12" s="34" t="s">
        <v>49</v>
      </c>
      <c r="HH12" s="34" t="s">
        <v>49</v>
      </c>
      <c r="HI12" s="34" t="s">
        <v>49</v>
      </c>
      <c r="HJ12" s="34" t="s">
        <v>49</v>
      </c>
      <c r="HK12" s="34" t="s">
        <v>49</v>
      </c>
      <c r="HL12" s="39" t="s">
        <v>24</v>
      </c>
      <c r="HM12" s="39" t="s">
        <v>24</v>
      </c>
      <c r="HN12" s="39" t="s">
        <v>24</v>
      </c>
      <c r="HO12" s="39" t="s">
        <v>24</v>
      </c>
      <c r="HP12" s="39" t="s">
        <v>24</v>
      </c>
      <c r="HQ12" s="39" t="s">
        <v>24</v>
      </c>
      <c r="HR12" s="39" t="s">
        <v>24</v>
      </c>
      <c r="HS12" s="39" t="s">
        <v>24</v>
      </c>
      <c r="HT12" s="39" t="s">
        <v>24</v>
      </c>
      <c r="HU12" s="39" t="s">
        <v>24</v>
      </c>
      <c r="HV12" s="39" t="s">
        <v>24</v>
      </c>
      <c r="HW12" s="39" t="s">
        <v>24</v>
      </c>
      <c r="HX12" s="39" t="s">
        <v>24</v>
      </c>
      <c r="HY12" s="39" t="s">
        <v>24</v>
      </c>
      <c r="HZ12" s="29" t="s">
        <v>22</v>
      </c>
      <c r="IA12" s="29" t="s">
        <v>22</v>
      </c>
      <c r="IB12" s="29" t="s">
        <v>22</v>
      </c>
      <c r="IC12" s="39" t="s">
        <v>24</v>
      </c>
      <c r="ID12" s="26">
        <v>1</v>
      </c>
      <c r="IE12" s="26">
        <v>1</v>
      </c>
      <c r="IF12" s="3" t="s">
        <v>21</v>
      </c>
      <c r="IG12" s="3" t="s">
        <v>21</v>
      </c>
      <c r="IH12" s="3" t="s">
        <v>21</v>
      </c>
      <c r="II12" s="3" t="s">
        <v>21</v>
      </c>
      <c r="IJ12" s="3" t="s">
        <v>21</v>
      </c>
      <c r="IK12" s="3" t="s">
        <v>21</v>
      </c>
      <c r="IL12" s="3" t="s">
        <v>21</v>
      </c>
      <c r="IM12" s="3" t="s">
        <v>21</v>
      </c>
      <c r="IN12" s="3" t="s">
        <v>21</v>
      </c>
      <c r="IO12" s="74"/>
      <c r="IP12" s="74"/>
      <c r="IQ12" s="29" t="s">
        <v>47</v>
      </c>
      <c r="IR12" s="74"/>
      <c r="IS12" s="74"/>
      <c r="IT12" s="74"/>
      <c r="IU12" s="26"/>
      <c r="IV12" s="26"/>
      <c r="IW12" s="26"/>
      <c r="IX12" s="26"/>
      <c r="IY12" s="27"/>
      <c r="IZ12" s="26"/>
      <c r="JA12" s="26"/>
      <c r="JB12" s="26"/>
      <c r="JC12" s="26"/>
      <c r="JD12" s="26"/>
      <c r="JE12" s="26"/>
      <c r="JF12" s="26"/>
      <c r="JG12" s="26"/>
      <c r="JH12" s="36"/>
      <c r="JI12" s="36"/>
      <c r="JJ12" s="36"/>
      <c r="JK12" s="36"/>
      <c r="JL12" s="36"/>
      <c r="JM12" s="36"/>
      <c r="JN12" s="26"/>
      <c r="JO12" s="26"/>
      <c r="JP12" s="26"/>
      <c r="JQ12" s="26"/>
      <c r="JR12" s="26"/>
      <c r="JS12" s="26"/>
      <c r="JT12" s="7">
        <f t="shared" si="16"/>
        <v>101</v>
      </c>
      <c r="JU12" s="7">
        <f t="shared" si="14"/>
        <v>98</v>
      </c>
      <c r="JV12" s="7">
        <f t="shared" si="15"/>
        <v>0</v>
      </c>
      <c r="JW12" s="20">
        <f t="shared" si="12"/>
        <v>16.833333333333332</v>
      </c>
      <c r="JX12" s="8"/>
      <c r="JY12" s="17">
        <f t="shared" si="13"/>
        <v>0</v>
      </c>
      <c r="JZ12" s="8">
        <f t="shared" si="17"/>
        <v>0</v>
      </c>
      <c r="KA12" s="6" t="s">
        <v>40</v>
      </c>
    </row>
    <row r="13" spans="1:287" ht="18.75" x14ac:dyDescent="0.25">
      <c r="A13" s="9" t="s">
        <v>41</v>
      </c>
      <c r="B13" s="10" t="s">
        <v>28</v>
      </c>
      <c r="C13" s="11">
        <f t="shared" si="11"/>
        <v>0.10588235294117647</v>
      </c>
      <c r="D13" s="26"/>
      <c r="E13" s="26"/>
      <c r="F13" s="26"/>
      <c r="G13" s="29" t="s">
        <v>15</v>
      </c>
      <c r="H13" s="29" t="s">
        <v>15</v>
      </c>
      <c r="I13" s="26"/>
      <c r="J13" s="26"/>
      <c r="K13" s="26"/>
      <c r="L13" s="26"/>
      <c r="M13" s="26">
        <v>1</v>
      </c>
      <c r="N13" s="26">
        <v>1</v>
      </c>
      <c r="O13" s="26">
        <v>1</v>
      </c>
      <c r="P13" s="27">
        <v>1</v>
      </c>
      <c r="Q13" s="26">
        <v>1</v>
      </c>
      <c r="R13" s="26">
        <v>1</v>
      </c>
      <c r="S13" s="26">
        <v>1</v>
      </c>
      <c r="T13" s="26">
        <v>1</v>
      </c>
      <c r="U13" s="26">
        <v>1</v>
      </c>
      <c r="V13" s="26">
        <v>1</v>
      </c>
      <c r="W13" s="26">
        <v>1</v>
      </c>
      <c r="X13" s="26">
        <v>1</v>
      </c>
      <c r="Y13" s="26">
        <v>1</v>
      </c>
      <c r="Z13" s="26">
        <v>1</v>
      </c>
      <c r="AA13" s="26">
        <v>1</v>
      </c>
      <c r="AB13" s="26">
        <v>1</v>
      </c>
      <c r="AC13" s="26">
        <v>1</v>
      </c>
      <c r="AD13" s="26">
        <v>1</v>
      </c>
      <c r="AE13" s="26">
        <v>1</v>
      </c>
      <c r="AF13" s="26">
        <v>1</v>
      </c>
      <c r="AG13" s="26">
        <v>1</v>
      </c>
      <c r="AH13" s="26">
        <v>1</v>
      </c>
      <c r="AI13" s="26">
        <v>1</v>
      </c>
      <c r="AJ13" s="26">
        <v>1</v>
      </c>
      <c r="AK13" s="26">
        <v>1</v>
      </c>
      <c r="AL13" s="26">
        <v>1</v>
      </c>
      <c r="AM13" s="26">
        <v>1</v>
      </c>
      <c r="AN13" s="26">
        <v>1</v>
      </c>
      <c r="AO13" s="26">
        <v>1</v>
      </c>
      <c r="AP13" s="26">
        <v>1</v>
      </c>
      <c r="AQ13" s="26">
        <v>1</v>
      </c>
      <c r="AR13" s="26">
        <v>1</v>
      </c>
      <c r="AS13" s="26">
        <v>1</v>
      </c>
      <c r="AT13" s="26">
        <v>1</v>
      </c>
      <c r="AU13" s="26">
        <v>1</v>
      </c>
      <c r="AV13" s="26">
        <v>1</v>
      </c>
      <c r="AW13" s="26">
        <v>1</v>
      </c>
      <c r="AX13" s="26">
        <v>1</v>
      </c>
      <c r="AY13" s="26">
        <v>1</v>
      </c>
      <c r="AZ13" s="26">
        <v>1</v>
      </c>
      <c r="BA13" s="26">
        <v>1</v>
      </c>
      <c r="BB13" s="26">
        <v>1</v>
      </c>
      <c r="BC13" s="26">
        <v>1</v>
      </c>
      <c r="BD13" s="26">
        <v>1</v>
      </c>
      <c r="BE13" s="26">
        <v>1</v>
      </c>
      <c r="BF13" s="26">
        <v>1</v>
      </c>
      <c r="BG13" s="26">
        <v>1</v>
      </c>
      <c r="BH13" s="26">
        <v>1</v>
      </c>
      <c r="BI13" s="29" t="s">
        <v>16</v>
      </c>
      <c r="BJ13" s="26">
        <v>1</v>
      </c>
      <c r="BK13" s="26">
        <v>1</v>
      </c>
      <c r="BL13" s="26">
        <v>1</v>
      </c>
      <c r="BM13" s="26">
        <v>1</v>
      </c>
      <c r="BN13" s="26">
        <v>1</v>
      </c>
      <c r="BO13" s="26">
        <v>1</v>
      </c>
      <c r="BP13" s="26">
        <v>1</v>
      </c>
      <c r="BQ13" s="26">
        <v>1</v>
      </c>
      <c r="BR13" s="26">
        <v>1</v>
      </c>
      <c r="BS13" s="29" t="s">
        <v>17</v>
      </c>
      <c r="BT13" s="26">
        <v>1</v>
      </c>
      <c r="BU13" s="26">
        <v>1</v>
      </c>
      <c r="BV13" s="26">
        <v>1</v>
      </c>
      <c r="BW13" s="26">
        <v>1</v>
      </c>
      <c r="BX13" s="26">
        <v>1</v>
      </c>
      <c r="BY13" s="26">
        <v>1</v>
      </c>
      <c r="BZ13" s="26">
        <v>1</v>
      </c>
      <c r="CA13" s="26">
        <v>1</v>
      </c>
      <c r="CB13" s="26">
        <v>1</v>
      </c>
      <c r="CC13" s="26">
        <v>1</v>
      </c>
      <c r="CD13" s="39" t="s">
        <v>24</v>
      </c>
      <c r="CE13" s="39" t="s">
        <v>24</v>
      </c>
      <c r="CF13" s="39" t="s">
        <v>24</v>
      </c>
      <c r="CG13" s="39" t="s">
        <v>24</v>
      </c>
      <c r="CH13" s="39" t="s">
        <v>24</v>
      </c>
      <c r="CI13" s="39" t="s">
        <v>24</v>
      </c>
      <c r="CJ13" s="39" t="s">
        <v>24</v>
      </c>
      <c r="CK13" s="39" t="s">
        <v>24</v>
      </c>
      <c r="CL13" s="39" t="s">
        <v>24</v>
      </c>
      <c r="CM13" s="39" t="s">
        <v>24</v>
      </c>
      <c r="CN13" s="39" t="s">
        <v>24</v>
      </c>
      <c r="CO13" s="39" t="s">
        <v>24</v>
      </c>
      <c r="CP13" s="39" t="s">
        <v>24</v>
      </c>
      <c r="CQ13" s="39" t="s">
        <v>24</v>
      </c>
      <c r="CR13" s="39" t="s">
        <v>24</v>
      </c>
      <c r="CS13" s="39" t="s">
        <v>24</v>
      </c>
      <c r="CT13" s="39" t="s">
        <v>24</v>
      </c>
      <c r="CU13" s="39" t="s">
        <v>24</v>
      </c>
      <c r="CV13" s="39" t="s">
        <v>24</v>
      </c>
      <c r="CW13" s="39" t="s">
        <v>24</v>
      </c>
      <c r="CX13" s="39" t="s">
        <v>24</v>
      </c>
      <c r="CY13" s="39" t="s">
        <v>24</v>
      </c>
      <c r="CZ13" s="39" t="s">
        <v>24</v>
      </c>
      <c r="DA13" s="39" t="s">
        <v>24</v>
      </c>
      <c r="DB13" s="39" t="s">
        <v>24</v>
      </c>
      <c r="DC13" s="39" t="s">
        <v>24</v>
      </c>
      <c r="DD13" s="39" t="s">
        <v>24</v>
      </c>
      <c r="DE13" s="29" t="s">
        <v>30</v>
      </c>
      <c r="DF13" s="26">
        <v>1</v>
      </c>
      <c r="DG13" s="26">
        <v>1</v>
      </c>
      <c r="DH13" s="26">
        <v>1</v>
      </c>
      <c r="DI13" s="26">
        <v>1</v>
      </c>
      <c r="DJ13" s="3" t="s">
        <v>21</v>
      </c>
      <c r="DK13" s="3" t="s">
        <v>21</v>
      </c>
      <c r="DL13" s="3" t="s">
        <v>21</v>
      </c>
      <c r="DM13" s="3" t="s">
        <v>21</v>
      </c>
      <c r="DN13" s="3" t="s">
        <v>21</v>
      </c>
      <c r="DO13" s="3" t="s">
        <v>21</v>
      </c>
      <c r="DP13" s="29" t="s">
        <v>45</v>
      </c>
      <c r="DQ13" s="3" t="s">
        <v>21</v>
      </c>
      <c r="DR13" s="3" t="s">
        <v>21</v>
      </c>
      <c r="DS13" s="3" t="s">
        <v>21</v>
      </c>
      <c r="DT13" s="26"/>
      <c r="DU13" s="26"/>
      <c r="DV13" s="26"/>
      <c r="DW13" s="26"/>
      <c r="DX13" s="26"/>
      <c r="DY13" s="26"/>
      <c r="DZ13" s="31" t="s">
        <v>19</v>
      </c>
      <c r="EA13" s="31" t="s">
        <v>19</v>
      </c>
      <c r="EB13" s="31" t="s">
        <v>19</v>
      </c>
      <c r="EC13" s="31" t="s">
        <v>19</v>
      </c>
      <c r="ED13" s="31" t="s">
        <v>19</v>
      </c>
      <c r="EE13" s="31" t="s">
        <v>19</v>
      </c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34" t="s">
        <v>20</v>
      </c>
      <c r="FQ13" s="34" t="s">
        <v>20</v>
      </c>
      <c r="FR13" s="34" t="s">
        <v>20</v>
      </c>
      <c r="FS13" s="34" t="s">
        <v>20</v>
      </c>
      <c r="FT13" s="34" t="s">
        <v>20</v>
      </c>
      <c r="FU13" s="34" t="s">
        <v>20</v>
      </c>
      <c r="FV13" s="73"/>
      <c r="FW13" s="73"/>
      <c r="FX13" s="73"/>
      <c r="FY13" s="26"/>
      <c r="FZ13" s="26"/>
      <c r="GA13" s="26"/>
      <c r="GB13" s="36"/>
      <c r="GC13" s="36"/>
      <c r="GD13" s="36"/>
      <c r="GE13" s="36"/>
      <c r="GF13" s="36"/>
      <c r="GG13" s="3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7"/>
      <c r="HD13" s="29" t="s">
        <v>46</v>
      </c>
      <c r="HE13" s="26"/>
      <c r="HF13" s="34" t="s">
        <v>49</v>
      </c>
      <c r="HG13" s="34" t="s">
        <v>49</v>
      </c>
      <c r="HH13" s="34" t="s">
        <v>49</v>
      </c>
      <c r="HI13" s="34" t="s">
        <v>49</v>
      </c>
      <c r="HJ13" s="34" t="s">
        <v>49</v>
      </c>
      <c r="HK13" s="34" t="s">
        <v>49</v>
      </c>
      <c r="HL13" s="26">
        <v>1</v>
      </c>
      <c r="HM13" s="26">
        <v>1</v>
      </c>
      <c r="HN13" s="26">
        <v>1</v>
      </c>
      <c r="HO13" s="26">
        <v>1</v>
      </c>
      <c r="HP13" s="26">
        <v>1</v>
      </c>
      <c r="HQ13" s="26">
        <v>1</v>
      </c>
      <c r="HR13" s="26">
        <v>1</v>
      </c>
      <c r="HS13" s="26">
        <v>1</v>
      </c>
      <c r="HT13" s="26">
        <v>1</v>
      </c>
      <c r="HU13" s="26">
        <v>1</v>
      </c>
      <c r="HV13" s="26">
        <v>1</v>
      </c>
      <c r="HW13" s="26">
        <v>1</v>
      </c>
      <c r="HX13" s="26">
        <v>1</v>
      </c>
      <c r="HY13" s="26">
        <v>1</v>
      </c>
      <c r="HZ13" s="29" t="s">
        <v>22</v>
      </c>
      <c r="IA13" s="29" t="s">
        <v>22</v>
      </c>
      <c r="IB13" s="29" t="s">
        <v>22</v>
      </c>
      <c r="IC13" s="26"/>
      <c r="ID13" s="26"/>
      <c r="IE13" s="26"/>
      <c r="IF13" s="3" t="s">
        <v>21</v>
      </c>
      <c r="IG13" s="3" t="s">
        <v>21</v>
      </c>
      <c r="IH13" s="3" t="s">
        <v>21</v>
      </c>
      <c r="II13" s="3" t="s">
        <v>21</v>
      </c>
      <c r="IJ13" s="3" t="s">
        <v>21</v>
      </c>
      <c r="IK13" s="3" t="s">
        <v>21</v>
      </c>
      <c r="IL13" s="3" t="s">
        <v>21</v>
      </c>
      <c r="IM13" s="3" t="s">
        <v>21</v>
      </c>
      <c r="IN13" s="3" t="s">
        <v>21</v>
      </c>
      <c r="IO13" s="74"/>
      <c r="IP13" s="74"/>
      <c r="IQ13" s="29" t="s">
        <v>47</v>
      </c>
      <c r="IR13" s="74"/>
      <c r="IS13" s="74"/>
      <c r="IT13" s="74"/>
      <c r="IU13" s="26"/>
      <c r="IV13" s="26"/>
      <c r="IW13" s="26"/>
      <c r="IX13" s="26"/>
      <c r="IY13" s="27"/>
      <c r="IZ13" s="26"/>
      <c r="JA13" s="26"/>
      <c r="JB13" s="26"/>
      <c r="JC13" s="26"/>
      <c r="JD13" s="26"/>
      <c r="JE13" s="26"/>
      <c r="JF13" s="26"/>
      <c r="JG13" s="26"/>
      <c r="JH13" s="36"/>
      <c r="JI13" s="36"/>
      <c r="JJ13" s="36"/>
      <c r="JK13" s="36"/>
      <c r="JL13" s="36"/>
      <c r="JM13" s="36"/>
      <c r="JN13" s="26"/>
      <c r="JO13" s="26"/>
      <c r="JP13" s="26"/>
      <c r="JQ13" s="26"/>
      <c r="JR13" s="26"/>
      <c r="JS13" s="26"/>
      <c r="JT13" s="10">
        <f t="shared" si="16"/>
        <v>85</v>
      </c>
      <c r="JU13" s="10">
        <f t="shared" si="14"/>
        <v>27</v>
      </c>
      <c r="JV13" s="10">
        <f t="shared" si="15"/>
        <v>0</v>
      </c>
      <c r="JW13" s="21">
        <f t="shared" si="12"/>
        <v>14.166666666666666</v>
      </c>
      <c r="JX13" s="11"/>
      <c r="JY13" s="17">
        <f t="shared" si="13"/>
        <v>9</v>
      </c>
      <c r="JZ13" s="11">
        <f t="shared" si="17"/>
        <v>0.10588235294117647</v>
      </c>
      <c r="KA13" s="9" t="s">
        <v>41</v>
      </c>
    </row>
    <row r="14" spans="1:287" ht="18.75" x14ac:dyDescent="0.25">
      <c r="A14" s="9" t="s">
        <v>42</v>
      </c>
      <c r="B14" s="10" t="s">
        <v>29</v>
      </c>
      <c r="C14" s="11">
        <f t="shared" si="11"/>
        <v>0.15517241379310345</v>
      </c>
      <c r="D14" s="26"/>
      <c r="E14" s="26"/>
      <c r="F14" s="26"/>
      <c r="G14" s="29" t="s">
        <v>15</v>
      </c>
      <c r="H14" s="29" t="s">
        <v>15</v>
      </c>
      <c r="I14" s="26"/>
      <c r="J14" s="26"/>
      <c r="K14" s="26"/>
      <c r="L14" s="26"/>
      <c r="M14" s="26">
        <v>1</v>
      </c>
      <c r="N14" s="26">
        <v>1</v>
      </c>
      <c r="O14" s="26">
        <v>1</v>
      </c>
      <c r="P14" s="27">
        <v>1</v>
      </c>
      <c r="Q14" s="26">
        <v>1</v>
      </c>
      <c r="R14" s="26">
        <v>1</v>
      </c>
      <c r="S14" s="26">
        <v>1</v>
      </c>
      <c r="T14" s="26">
        <v>1</v>
      </c>
      <c r="U14" s="26">
        <v>1</v>
      </c>
      <c r="V14" s="26">
        <v>1</v>
      </c>
      <c r="W14" s="26">
        <v>1</v>
      </c>
      <c r="X14" s="26">
        <v>1</v>
      </c>
      <c r="Y14" s="26">
        <v>1</v>
      </c>
      <c r="Z14" s="26">
        <v>1</v>
      </c>
      <c r="AA14" s="26">
        <v>1</v>
      </c>
      <c r="AB14" s="26">
        <v>1</v>
      </c>
      <c r="AC14" s="26">
        <v>1</v>
      </c>
      <c r="AD14" s="39" t="s">
        <v>24</v>
      </c>
      <c r="AE14" s="39" t="s">
        <v>24</v>
      </c>
      <c r="AF14" s="39" t="s">
        <v>24</v>
      </c>
      <c r="AG14" s="39" t="s">
        <v>24</v>
      </c>
      <c r="AH14" s="39" t="s">
        <v>24</v>
      </c>
      <c r="AI14" s="39" t="s">
        <v>24</v>
      </c>
      <c r="AJ14" s="39" t="s">
        <v>24</v>
      </c>
      <c r="AK14" s="39" t="s">
        <v>24</v>
      </c>
      <c r="AL14" s="39" t="s">
        <v>24</v>
      </c>
      <c r="AM14" s="39" t="s">
        <v>24</v>
      </c>
      <c r="AN14" s="39" t="s">
        <v>24</v>
      </c>
      <c r="AO14" s="39" t="s">
        <v>24</v>
      </c>
      <c r="AP14" s="39" t="s">
        <v>24</v>
      </c>
      <c r="AQ14" s="39" t="s">
        <v>24</v>
      </c>
      <c r="AR14" s="39" t="s">
        <v>24</v>
      </c>
      <c r="AS14" s="39" t="s">
        <v>24</v>
      </c>
      <c r="AT14" s="39" t="s">
        <v>24</v>
      </c>
      <c r="AU14" s="39" t="s">
        <v>24</v>
      </c>
      <c r="AV14" s="39" t="s">
        <v>24</v>
      </c>
      <c r="AW14" s="39" t="s">
        <v>24</v>
      </c>
      <c r="AX14" s="39" t="s">
        <v>24</v>
      </c>
      <c r="AY14" s="39" t="s">
        <v>24</v>
      </c>
      <c r="AZ14" s="39" t="s">
        <v>24</v>
      </c>
      <c r="BA14" s="39" t="s">
        <v>24</v>
      </c>
      <c r="BB14" s="39" t="s">
        <v>24</v>
      </c>
      <c r="BC14" s="39" t="s">
        <v>24</v>
      </c>
      <c r="BD14" s="39" t="s">
        <v>24</v>
      </c>
      <c r="BE14" s="26">
        <v>1</v>
      </c>
      <c r="BF14" s="26">
        <v>1</v>
      </c>
      <c r="BG14" s="26">
        <v>1</v>
      </c>
      <c r="BH14" s="26">
        <v>1</v>
      </c>
      <c r="BI14" s="29" t="s">
        <v>16</v>
      </c>
      <c r="BJ14" s="26">
        <v>1</v>
      </c>
      <c r="BK14" s="26">
        <v>1</v>
      </c>
      <c r="BL14" s="26">
        <v>1</v>
      </c>
      <c r="BM14" s="26">
        <v>1</v>
      </c>
      <c r="BN14" s="26">
        <v>1</v>
      </c>
      <c r="BO14" s="26">
        <v>1</v>
      </c>
      <c r="BP14" s="26">
        <v>1</v>
      </c>
      <c r="BQ14" s="26">
        <v>1</v>
      </c>
      <c r="BR14" s="26">
        <v>1</v>
      </c>
      <c r="BS14" s="29" t="s">
        <v>17</v>
      </c>
      <c r="BT14" s="26">
        <v>1</v>
      </c>
      <c r="BU14" s="26">
        <v>1</v>
      </c>
      <c r="BV14" s="26">
        <v>1</v>
      </c>
      <c r="BW14" s="26">
        <v>1</v>
      </c>
      <c r="BX14" s="26">
        <v>1</v>
      </c>
      <c r="BY14" s="26">
        <v>1</v>
      </c>
      <c r="BZ14" s="26">
        <v>1</v>
      </c>
      <c r="CA14" s="26">
        <v>1</v>
      </c>
      <c r="CB14" s="26">
        <v>1</v>
      </c>
      <c r="CC14" s="26">
        <v>1</v>
      </c>
      <c r="CD14" s="39" t="s">
        <v>24</v>
      </c>
      <c r="CE14" s="39" t="s">
        <v>24</v>
      </c>
      <c r="CF14" s="39" t="s">
        <v>24</v>
      </c>
      <c r="CG14" s="39" t="s">
        <v>24</v>
      </c>
      <c r="CH14" s="39" t="s">
        <v>24</v>
      </c>
      <c r="CI14" s="39" t="s">
        <v>24</v>
      </c>
      <c r="CJ14" s="39" t="s">
        <v>24</v>
      </c>
      <c r="CK14" s="39" t="s">
        <v>24</v>
      </c>
      <c r="CL14" s="39" t="s">
        <v>24</v>
      </c>
      <c r="CM14" s="39" t="s">
        <v>24</v>
      </c>
      <c r="CN14" s="39" t="s">
        <v>24</v>
      </c>
      <c r="CO14" s="39" t="s">
        <v>24</v>
      </c>
      <c r="CP14" s="39" t="s">
        <v>24</v>
      </c>
      <c r="CQ14" s="39" t="s">
        <v>24</v>
      </c>
      <c r="CR14" s="39" t="s">
        <v>24</v>
      </c>
      <c r="CS14" s="39" t="s">
        <v>24</v>
      </c>
      <c r="CT14" s="39" t="s">
        <v>24</v>
      </c>
      <c r="CU14" s="39" t="s">
        <v>24</v>
      </c>
      <c r="CV14" s="39" t="s">
        <v>24</v>
      </c>
      <c r="CW14" s="39" t="s">
        <v>24</v>
      </c>
      <c r="CX14" s="39" t="s">
        <v>24</v>
      </c>
      <c r="CY14" s="39" t="s">
        <v>24</v>
      </c>
      <c r="CZ14" s="39" t="s">
        <v>24</v>
      </c>
      <c r="DA14" s="39" t="s">
        <v>24</v>
      </c>
      <c r="DB14" s="39" t="s">
        <v>24</v>
      </c>
      <c r="DC14" s="39" t="s">
        <v>24</v>
      </c>
      <c r="DD14" s="39" t="s">
        <v>24</v>
      </c>
      <c r="DE14" s="29" t="s">
        <v>30</v>
      </c>
      <c r="DF14" s="26">
        <v>1</v>
      </c>
      <c r="DG14" s="26">
        <v>1</v>
      </c>
      <c r="DH14" s="26">
        <v>1</v>
      </c>
      <c r="DI14" s="26">
        <v>1</v>
      </c>
      <c r="DJ14" s="3" t="s">
        <v>21</v>
      </c>
      <c r="DK14" s="3" t="s">
        <v>21</v>
      </c>
      <c r="DL14" s="3" t="s">
        <v>21</v>
      </c>
      <c r="DM14" s="3" t="s">
        <v>21</v>
      </c>
      <c r="DN14" s="3" t="s">
        <v>21</v>
      </c>
      <c r="DO14" s="3" t="s">
        <v>21</v>
      </c>
      <c r="DP14" s="29" t="s">
        <v>45</v>
      </c>
      <c r="DQ14" s="3" t="s">
        <v>21</v>
      </c>
      <c r="DR14" s="3" t="s">
        <v>21</v>
      </c>
      <c r="DS14" s="3" t="s">
        <v>21</v>
      </c>
      <c r="DT14" s="26"/>
      <c r="DU14" s="26"/>
      <c r="DV14" s="26"/>
      <c r="DW14" s="26"/>
      <c r="DX14" s="26"/>
      <c r="DY14" s="26"/>
      <c r="DZ14" s="31" t="s">
        <v>19</v>
      </c>
      <c r="EA14" s="31" t="s">
        <v>19</v>
      </c>
      <c r="EB14" s="31" t="s">
        <v>19</v>
      </c>
      <c r="EC14" s="31" t="s">
        <v>19</v>
      </c>
      <c r="ED14" s="31" t="s">
        <v>19</v>
      </c>
      <c r="EE14" s="31" t="s">
        <v>19</v>
      </c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34" t="s">
        <v>20</v>
      </c>
      <c r="FQ14" s="34" t="s">
        <v>20</v>
      </c>
      <c r="FR14" s="34" t="s">
        <v>20</v>
      </c>
      <c r="FS14" s="34" t="s">
        <v>20</v>
      </c>
      <c r="FT14" s="34" t="s">
        <v>20</v>
      </c>
      <c r="FU14" s="34" t="s">
        <v>20</v>
      </c>
      <c r="FV14" s="73"/>
      <c r="FW14" s="73"/>
      <c r="FX14" s="73"/>
      <c r="FY14" s="26"/>
      <c r="FZ14" s="26"/>
      <c r="GA14" s="26"/>
      <c r="GB14" s="36"/>
      <c r="GC14" s="36"/>
      <c r="GD14" s="36"/>
      <c r="GE14" s="36"/>
      <c r="GF14" s="36"/>
      <c r="GG14" s="3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7"/>
      <c r="HD14" s="29" t="s">
        <v>46</v>
      </c>
      <c r="HE14" s="26"/>
      <c r="HF14" s="34" t="s">
        <v>49</v>
      </c>
      <c r="HG14" s="34" t="s">
        <v>49</v>
      </c>
      <c r="HH14" s="34" t="s">
        <v>49</v>
      </c>
      <c r="HI14" s="34" t="s">
        <v>49</v>
      </c>
      <c r="HJ14" s="34" t="s">
        <v>49</v>
      </c>
      <c r="HK14" s="34" t="s">
        <v>49</v>
      </c>
      <c r="HL14" s="26">
        <v>1</v>
      </c>
      <c r="HM14" s="26">
        <v>1</v>
      </c>
      <c r="HN14" s="26">
        <v>1</v>
      </c>
      <c r="HO14" s="26">
        <v>1</v>
      </c>
      <c r="HP14" s="26">
        <v>1</v>
      </c>
      <c r="HQ14" s="26">
        <v>1</v>
      </c>
      <c r="HR14" s="26">
        <v>1</v>
      </c>
      <c r="HS14" s="26">
        <v>1</v>
      </c>
      <c r="HT14" s="26">
        <v>1</v>
      </c>
      <c r="HU14" s="26">
        <v>1</v>
      </c>
      <c r="HV14" s="26">
        <v>1</v>
      </c>
      <c r="HW14" s="26">
        <v>1</v>
      </c>
      <c r="HX14" s="26">
        <v>1</v>
      </c>
      <c r="HY14" s="26">
        <v>1</v>
      </c>
      <c r="HZ14" s="29" t="s">
        <v>22</v>
      </c>
      <c r="IA14" s="29" t="s">
        <v>22</v>
      </c>
      <c r="IB14" s="29" t="s">
        <v>22</v>
      </c>
      <c r="IC14" s="26"/>
      <c r="ID14" s="26"/>
      <c r="IE14" s="26"/>
      <c r="IF14" s="3" t="s">
        <v>21</v>
      </c>
      <c r="IG14" s="3" t="s">
        <v>21</v>
      </c>
      <c r="IH14" s="3" t="s">
        <v>21</v>
      </c>
      <c r="II14" s="3" t="s">
        <v>21</v>
      </c>
      <c r="IJ14" s="3" t="s">
        <v>21</v>
      </c>
      <c r="IK14" s="3" t="s">
        <v>21</v>
      </c>
      <c r="IL14" s="3" t="s">
        <v>21</v>
      </c>
      <c r="IM14" s="3" t="s">
        <v>21</v>
      </c>
      <c r="IN14" s="3" t="s">
        <v>21</v>
      </c>
      <c r="IO14" s="74"/>
      <c r="IP14" s="74"/>
      <c r="IQ14" s="29" t="s">
        <v>47</v>
      </c>
      <c r="IR14" s="74"/>
      <c r="IS14" s="74"/>
      <c r="IT14" s="74"/>
      <c r="IU14" s="26"/>
      <c r="IV14" s="26"/>
      <c r="IW14" s="26"/>
      <c r="IX14" s="26"/>
      <c r="IY14" s="27"/>
      <c r="IZ14" s="26"/>
      <c r="JA14" s="26"/>
      <c r="JB14" s="26"/>
      <c r="JC14" s="26"/>
      <c r="JD14" s="26"/>
      <c r="JE14" s="26"/>
      <c r="JF14" s="26"/>
      <c r="JG14" s="26"/>
      <c r="JH14" s="36"/>
      <c r="JI14" s="36"/>
      <c r="JJ14" s="36"/>
      <c r="JK14" s="36"/>
      <c r="JL14" s="36"/>
      <c r="JM14" s="36"/>
      <c r="JN14" s="26"/>
      <c r="JO14" s="26"/>
      <c r="JP14" s="26"/>
      <c r="JQ14" s="26"/>
      <c r="JR14" s="26"/>
      <c r="JS14" s="26"/>
      <c r="JT14" s="10">
        <f t="shared" si="16"/>
        <v>58</v>
      </c>
      <c r="JU14" s="10">
        <f t="shared" si="14"/>
        <v>54</v>
      </c>
      <c r="JV14" s="10">
        <f t="shared" si="15"/>
        <v>0</v>
      </c>
      <c r="JW14" s="21">
        <f t="shared" si="12"/>
        <v>9.6666666666666661</v>
      </c>
      <c r="JX14" s="11">
        <f>+JT14/JT13</f>
        <v>0.68235294117647061</v>
      </c>
      <c r="JY14" s="17">
        <f t="shared" si="13"/>
        <v>9</v>
      </c>
      <c r="JZ14" s="11">
        <f t="shared" si="17"/>
        <v>0.15517241379310345</v>
      </c>
      <c r="KA14" s="9" t="s">
        <v>42</v>
      </c>
    </row>
    <row r="15" spans="1:287" ht="18.75" x14ac:dyDescent="0.25">
      <c r="A15" s="4" t="s">
        <v>38</v>
      </c>
      <c r="B15" s="12" t="s">
        <v>14</v>
      </c>
      <c r="C15" s="13">
        <f t="shared" si="11"/>
        <v>4.1284403669724773E-2</v>
      </c>
      <c r="D15" s="26"/>
      <c r="E15" s="26"/>
      <c r="F15" s="26"/>
      <c r="G15" s="29" t="s">
        <v>15</v>
      </c>
      <c r="H15" s="29" t="s">
        <v>15</v>
      </c>
      <c r="I15" s="26"/>
      <c r="J15" s="26"/>
      <c r="K15" s="26"/>
      <c r="L15" s="26"/>
      <c r="M15" s="26">
        <v>1</v>
      </c>
      <c r="N15" s="26">
        <v>1</v>
      </c>
      <c r="O15" s="26">
        <v>1</v>
      </c>
      <c r="P15" s="26">
        <v>1</v>
      </c>
      <c r="Q15" s="26">
        <v>1</v>
      </c>
      <c r="R15" s="26">
        <v>1</v>
      </c>
      <c r="S15" s="26">
        <v>1</v>
      </c>
      <c r="T15" s="26">
        <v>1</v>
      </c>
      <c r="U15" s="26">
        <v>1</v>
      </c>
      <c r="V15" s="26">
        <v>1</v>
      </c>
      <c r="W15" s="26">
        <v>1</v>
      </c>
      <c r="X15" s="26">
        <v>1</v>
      </c>
      <c r="Y15" s="26">
        <v>1</v>
      </c>
      <c r="Z15" s="26">
        <v>1</v>
      </c>
      <c r="AA15" s="26">
        <v>1</v>
      </c>
      <c r="AB15" s="26">
        <v>1</v>
      </c>
      <c r="AC15" s="26">
        <v>1</v>
      </c>
      <c r="AD15" s="26">
        <v>1</v>
      </c>
      <c r="AE15" s="26">
        <v>1</v>
      </c>
      <c r="AF15" s="26">
        <v>1</v>
      </c>
      <c r="AG15" s="26">
        <v>1</v>
      </c>
      <c r="AH15" s="26">
        <v>1</v>
      </c>
      <c r="AI15" s="26">
        <v>1</v>
      </c>
      <c r="AJ15" s="26">
        <v>1</v>
      </c>
      <c r="AK15" s="26">
        <v>1</v>
      </c>
      <c r="AL15" s="26">
        <v>1</v>
      </c>
      <c r="AM15" s="26">
        <v>1</v>
      </c>
      <c r="AN15" s="26">
        <v>1</v>
      </c>
      <c r="AO15" s="26">
        <v>1</v>
      </c>
      <c r="AP15" s="26">
        <v>1</v>
      </c>
      <c r="AQ15" s="26">
        <v>1</v>
      </c>
      <c r="AR15" s="26">
        <v>1</v>
      </c>
      <c r="AS15" s="26">
        <v>1</v>
      </c>
      <c r="AT15" s="26">
        <v>1</v>
      </c>
      <c r="AU15" s="26">
        <v>1</v>
      </c>
      <c r="AV15" s="26">
        <v>1</v>
      </c>
      <c r="AW15" s="26">
        <v>1</v>
      </c>
      <c r="AX15" s="26">
        <v>1</v>
      </c>
      <c r="AY15" s="26">
        <v>1</v>
      </c>
      <c r="AZ15" s="26">
        <v>1</v>
      </c>
      <c r="BA15" s="26">
        <v>1</v>
      </c>
      <c r="BB15" s="26">
        <v>1</v>
      </c>
      <c r="BC15" s="26">
        <v>1</v>
      </c>
      <c r="BD15" s="26">
        <v>1</v>
      </c>
      <c r="BE15" s="26">
        <v>1</v>
      </c>
      <c r="BF15" s="26">
        <v>1</v>
      </c>
      <c r="BG15" s="26">
        <v>1</v>
      </c>
      <c r="BH15" s="26">
        <v>1</v>
      </c>
      <c r="BI15" s="29" t="s">
        <v>16</v>
      </c>
      <c r="BJ15" s="26">
        <v>1</v>
      </c>
      <c r="BK15" s="26">
        <v>1</v>
      </c>
      <c r="BL15" s="26">
        <v>1</v>
      </c>
      <c r="BM15" s="26">
        <v>1</v>
      </c>
      <c r="BN15" s="26">
        <v>1</v>
      </c>
      <c r="BO15" s="26">
        <v>1</v>
      </c>
      <c r="BP15" s="26">
        <v>1</v>
      </c>
      <c r="BQ15" s="26">
        <v>1</v>
      </c>
      <c r="BR15" s="26">
        <v>1</v>
      </c>
      <c r="BS15" s="29" t="s">
        <v>17</v>
      </c>
      <c r="BT15" s="26">
        <v>1</v>
      </c>
      <c r="BU15" s="26">
        <v>1</v>
      </c>
      <c r="BV15" s="26">
        <v>1</v>
      </c>
      <c r="BW15" s="26">
        <v>1</v>
      </c>
      <c r="BX15" s="26">
        <v>1</v>
      </c>
      <c r="BY15" s="26">
        <v>1</v>
      </c>
      <c r="BZ15" s="26">
        <v>1</v>
      </c>
      <c r="CA15" s="26">
        <v>1</v>
      </c>
      <c r="CB15" s="26">
        <v>1</v>
      </c>
      <c r="CC15" s="26">
        <v>1</v>
      </c>
      <c r="CD15" s="36">
        <v>1</v>
      </c>
      <c r="CE15" s="36">
        <v>1</v>
      </c>
      <c r="CF15" s="36">
        <v>1</v>
      </c>
      <c r="CG15" s="36">
        <v>1</v>
      </c>
      <c r="CH15" s="36">
        <v>1</v>
      </c>
      <c r="CI15" s="36">
        <v>1</v>
      </c>
      <c r="CJ15" s="34" t="s">
        <v>18</v>
      </c>
      <c r="CK15" s="34" t="s">
        <v>18</v>
      </c>
      <c r="CL15" s="34" t="s">
        <v>18</v>
      </c>
      <c r="CM15" s="34" t="s">
        <v>18</v>
      </c>
      <c r="CN15" s="34" t="s">
        <v>18</v>
      </c>
      <c r="CO15" s="34" t="s">
        <v>18</v>
      </c>
      <c r="CP15" s="26">
        <v>1</v>
      </c>
      <c r="CQ15" s="26">
        <v>1</v>
      </c>
      <c r="CR15" s="26">
        <v>1</v>
      </c>
      <c r="CS15" s="26">
        <v>1</v>
      </c>
      <c r="CT15" s="26">
        <v>1</v>
      </c>
      <c r="CU15" s="26">
        <v>1</v>
      </c>
      <c r="CV15" s="26">
        <v>1</v>
      </c>
      <c r="CW15" s="26">
        <v>1</v>
      </c>
      <c r="CX15" s="26">
        <v>1</v>
      </c>
      <c r="CY15" s="26">
        <v>1</v>
      </c>
      <c r="CZ15" s="26">
        <v>1</v>
      </c>
      <c r="DA15" s="26">
        <v>1</v>
      </c>
      <c r="DB15" s="26">
        <v>1</v>
      </c>
      <c r="DC15" s="26">
        <v>1</v>
      </c>
      <c r="DD15" s="27">
        <v>1</v>
      </c>
      <c r="DE15" s="29" t="s">
        <v>30</v>
      </c>
      <c r="DF15" s="26">
        <v>1</v>
      </c>
      <c r="DG15" s="26">
        <v>1</v>
      </c>
      <c r="DH15" s="26">
        <v>1</v>
      </c>
      <c r="DI15" s="26">
        <v>1</v>
      </c>
      <c r="DJ15" s="26">
        <v>1</v>
      </c>
      <c r="DK15" s="26">
        <v>1</v>
      </c>
      <c r="DL15" s="26">
        <v>1</v>
      </c>
      <c r="DM15" s="27">
        <v>1</v>
      </c>
      <c r="DN15" s="26">
        <v>1</v>
      </c>
      <c r="DO15" s="26">
        <v>1</v>
      </c>
      <c r="DP15" s="29" t="s">
        <v>45</v>
      </c>
      <c r="DQ15" s="26">
        <v>1</v>
      </c>
      <c r="DR15" s="26">
        <v>1</v>
      </c>
      <c r="DS15" s="26">
        <v>1</v>
      </c>
      <c r="DT15" s="26">
        <v>1</v>
      </c>
      <c r="DU15" s="26">
        <v>1</v>
      </c>
      <c r="DV15" s="26">
        <v>1</v>
      </c>
      <c r="DW15" s="26">
        <v>1</v>
      </c>
      <c r="DX15" s="26">
        <v>1</v>
      </c>
      <c r="DY15" s="26">
        <v>1</v>
      </c>
      <c r="DZ15" s="31" t="s">
        <v>19</v>
      </c>
      <c r="EA15" s="31" t="s">
        <v>19</v>
      </c>
      <c r="EB15" s="31" t="s">
        <v>19</v>
      </c>
      <c r="EC15" s="31" t="s">
        <v>19</v>
      </c>
      <c r="ED15" s="31" t="s">
        <v>19</v>
      </c>
      <c r="EE15" s="31" t="s">
        <v>19</v>
      </c>
      <c r="EF15" s="26">
        <v>1</v>
      </c>
      <c r="EG15" s="26">
        <v>1</v>
      </c>
      <c r="EH15" s="26">
        <v>1</v>
      </c>
      <c r="EI15" s="26">
        <v>1</v>
      </c>
      <c r="EJ15" s="26">
        <v>1</v>
      </c>
      <c r="EK15" s="26">
        <v>1</v>
      </c>
      <c r="EL15" s="26">
        <v>1</v>
      </c>
      <c r="EM15" s="26">
        <v>1</v>
      </c>
      <c r="EN15" s="26">
        <v>1</v>
      </c>
      <c r="EO15" s="26">
        <v>1</v>
      </c>
      <c r="EP15" s="26">
        <v>1</v>
      </c>
      <c r="EQ15" s="26">
        <v>1</v>
      </c>
      <c r="ER15" s="26">
        <v>1</v>
      </c>
      <c r="ES15" s="26">
        <v>1</v>
      </c>
      <c r="ET15" s="26">
        <v>1</v>
      </c>
      <c r="EU15" s="26">
        <v>1</v>
      </c>
      <c r="EV15" s="26">
        <v>1</v>
      </c>
      <c r="EW15" s="26">
        <v>1</v>
      </c>
      <c r="EX15" s="26">
        <v>1</v>
      </c>
      <c r="EY15" s="26">
        <v>1</v>
      </c>
      <c r="EZ15" s="26">
        <v>1</v>
      </c>
      <c r="FA15" s="26">
        <v>1</v>
      </c>
      <c r="FB15" s="26">
        <v>1</v>
      </c>
      <c r="FC15" s="26">
        <v>1</v>
      </c>
      <c r="FD15" s="26">
        <v>1</v>
      </c>
      <c r="FE15" s="26">
        <v>1</v>
      </c>
      <c r="FF15" s="26">
        <v>1</v>
      </c>
      <c r="FG15" s="26">
        <v>1</v>
      </c>
      <c r="FH15" s="26">
        <v>1</v>
      </c>
      <c r="FI15" s="26">
        <v>1</v>
      </c>
      <c r="FJ15" s="26">
        <v>1</v>
      </c>
      <c r="FK15" s="26">
        <v>1</v>
      </c>
      <c r="FL15" s="26">
        <v>1</v>
      </c>
      <c r="FM15" s="26">
        <v>1</v>
      </c>
      <c r="FN15" s="26">
        <v>1</v>
      </c>
      <c r="FO15" s="26">
        <v>1</v>
      </c>
      <c r="FP15" s="34" t="s">
        <v>20</v>
      </c>
      <c r="FQ15" s="34" t="s">
        <v>20</v>
      </c>
      <c r="FR15" s="34" t="s">
        <v>20</v>
      </c>
      <c r="FS15" s="34" t="s">
        <v>20</v>
      </c>
      <c r="FT15" s="34" t="s">
        <v>20</v>
      </c>
      <c r="FU15" s="34" t="s">
        <v>20</v>
      </c>
      <c r="FV15" s="73">
        <v>1</v>
      </c>
      <c r="FW15" s="73">
        <v>1</v>
      </c>
      <c r="FX15" s="73">
        <v>1</v>
      </c>
      <c r="FY15" s="26">
        <v>1</v>
      </c>
      <c r="FZ15" s="26">
        <v>1</v>
      </c>
      <c r="GA15" s="26">
        <v>1</v>
      </c>
      <c r="GB15" s="36">
        <v>1</v>
      </c>
      <c r="GC15" s="36">
        <v>1</v>
      </c>
      <c r="GD15" s="36">
        <v>1</v>
      </c>
      <c r="GE15" s="36">
        <v>1</v>
      </c>
      <c r="GF15" s="36">
        <v>1</v>
      </c>
      <c r="GG15" s="36">
        <v>1</v>
      </c>
      <c r="GH15" s="26">
        <v>1</v>
      </c>
      <c r="GI15" s="26">
        <v>1</v>
      </c>
      <c r="GJ15" s="26">
        <v>1</v>
      </c>
      <c r="GK15" s="26">
        <v>1</v>
      </c>
      <c r="GL15" s="26">
        <v>1</v>
      </c>
      <c r="GM15" s="26">
        <v>1</v>
      </c>
      <c r="GN15" s="26">
        <v>1</v>
      </c>
      <c r="GO15" s="26">
        <v>1</v>
      </c>
      <c r="GP15" s="26">
        <v>1</v>
      </c>
      <c r="GQ15" s="26">
        <v>1</v>
      </c>
      <c r="GR15" s="26">
        <v>1</v>
      </c>
      <c r="GS15" s="26">
        <v>1</v>
      </c>
      <c r="GT15" s="26">
        <v>1</v>
      </c>
      <c r="GU15" s="26">
        <v>1</v>
      </c>
      <c r="GV15" s="26">
        <v>1</v>
      </c>
      <c r="GW15" s="26">
        <v>1</v>
      </c>
      <c r="GX15" s="26">
        <v>1</v>
      </c>
      <c r="GY15" s="26">
        <v>1</v>
      </c>
      <c r="GZ15" s="26">
        <v>1</v>
      </c>
      <c r="HA15" s="26">
        <v>1</v>
      </c>
      <c r="HB15" s="26">
        <v>1</v>
      </c>
      <c r="HC15" s="27">
        <v>1</v>
      </c>
      <c r="HD15" s="29" t="s">
        <v>46</v>
      </c>
      <c r="HE15" s="26">
        <v>1</v>
      </c>
      <c r="HF15" s="34" t="s">
        <v>49</v>
      </c>
      <c r="HG15" s="34" t="s">
        <v>49</v>
      </c>
      <c r="HH15" s="34" t="s">
        <v>49</v>
      </c>
      <c r="HI15" s="34" t="s">
        <v>49</v>
      </c>
      <c r="HJ15" s="34" t="s">
        <v>49</v>
      </c>
      <c r="HK15" s="34" t="s">
        <v>49</v>
      </c>
      <c r="HL15" s="26">
        <v>1</v>
      </c>
      <c r="HM15" s="26">
        <v>1</v>
      </c>
      <c r="HN15" s="26">
        <v>1</v>
      </c>
      <c r="HO15" s="26">
        <v>1</v>
      </c>
      <c r="HP15" s="26">
        <v>1</v>
      </c>
      <c r="HQ15" s="26">
        <v>1</v>
      </c>
      <c r="HR15" s="26">
        <v>1</v>
      </c>
      <c r="HS15" s="26">
        <v>1</v>
      </c>
      <c r="HT15" s="26">
        <v>1</v>
      </c>
      <c r="HU15" s="26">
        <v>1</v>
      </c>
      <c r="HV15" s="26">
        <v>1</v>
      </c>
      <c r="HW15" s="26">
        <v>1</v>
      </c>
      <c r="HX15" s="26">
        <v>1</v>
      </c>
      <c r="HY15" s="26">
        <v>1</v>
      </c>
      <c r="HZ15" s="29" t="s">
        <v>22</v>
      </c>
      <c r="IA15" s="29" t="s">
        <v>22</v>
      </c>
      <c r="IB15" s="29" t="s">
        <v>22</v>
      </c>
      <c r="IC15" s="26">
        <v>1</v>
      </c>
      <c r="ID15" s="26">
        <v>1</v>
      </c>
      <c r="IE15" s="26">
        <v>1</v>
      </c>
      <c r="IF15" s="3" t="s">
        <v>21</v>
      </c>
      <c r="IG15" s="3" t="s">
        <v>21</v>
      </c>
      <c r="IH15" s="3" t="s">
        <v>21</v>
      </c>
      <c r="II15" s="3" t="s">
        <v>21</v>
      </c>
      <c r="IJ15" s="3" t="s">
        <v>21</v>
      </c>
      <c r="IK15" s="3" t="s">
        <v>21</v>
      </c>
      <c r="IL15" s="3" t="s">
        <v>21</v>
      </c>
      <c r="IM15" s="3" t="s">
        <v>21</v>
      </c>
      <c r="IN15" s="3" t="s">
        <v>21</v>
      </c>
      <c r="IO15" s="77">
        <v>1</v>
      </c>
      <c r="IP15" s="77">
        <v>1</v>
      </c>
      <c r="IQ15" s="75" t="s">
        <v>47</v>
      </c>
      <c r="IR15" s="77">
        <v>1</v>
      </c>
      <c r="IS15" s="77">
        <v>1</v>
      </c>
      <c r="IT15" s="77">
        <v>1</v>
      </c>
      <c r="IU15" s="76">
        <v>1</v>
      </c>
      <c r="IV15" s="26">
        <v>1</v>
      </c>
      <c r="IW15" s="26">
        <v>1</v>
      </c>
      <c r="IX15" s="26">
        <v>1</v>
      </c>
      <c r="IY15" s="26">
        <v>1</v>
      </c>
      <c r="IZ15" s="26">
        <v>1</v>
      </c>
      <c r="JA15" s="26">
        <v>1</v>
      </c>
      <c r="JB15" s="26">
        <v>1</v>
      </c>
      <c r="JC15" s="26">
        <v>1</v>
      </c>
      <c r="JD15" s="26">
        <v>1</v>
      </c>
      <c r="JE15" s="26">
        <v>1</v>
      </c>
      <c r="JF15" s="26">
        <v>1</v>
      </c>
      <c r="JG15" s="26">
        <v>1</v>
      </c>
      <c r="JH15" s="36">
        <v>1</v>
      </c>
      <c r="JI15" s="36">
        <v>1</v>
      </c>
      <c r="JJ15" s="36">
        <v>1</v>
      </c>
      <c r="JK15" s="36">
        <v>1</v>
      </c>
      <c r="JL15" s="36">
        <v>1</v>
      </c>
      <c r="JM15" s="36">
        <v>1</v>
      </c>
      <c r="JN15" s="26">
        <v>1</v>
      </c>
      <c r="JO15" s="26">
        <v>1</v>
      </c>
      <c r="JP15" s="26">
        <v>1</v>
      </c>
      <c r="JQ15" s="26">
        <v>1</v>
      </c>
      <c r="JR15" s="26">
        <v>1</v>
      </c>
      <c r="JS15" s="26">
        <v>1</v>
      </c>
      <c r="JT15" s="12">
        <f t="shared" si="16"/>
        <v>218</v>
      </c>
      <c r="JU15" s="12">
        <f t="shared" si="14"/>
        <v>0</v>
      </c>
      <c r="JV15" s="12">
        <f t="shared" si="15"/>
        <v>0</v>
      </c>
      <c r="JW15" s="22">
        <f t="shared" si="12"/>
        <v>36.333333333333336</v>
      </c>
      <c r="JX15" s="12"/>
      <c r="JY15" s="17">
        <f t="shared" si="13"/>
        <v>9</v>
      </c>
      <c r="JZ15" s="13">
        <f t="shared" si="17"/>
        <v>4.1284403669724773E-2</v>
      </c>
      <c r="KA15" s="4" t="s">
        <v>38</v>
      </c>
    </row>
    <row r="16" spans="1:287" ht="18.75" x14ac:dyDescent="0.25">
      <c r="A16" s="4" t="s">
        <v>39</v>
      </c>
      <c r="B16" s="12" t="s">
        <v>25</v>
      </c>
      <c r="C16" s="13">
        <f t="shared" si="11"/>
        <v>4.6153846153846156E-2</v>
      </c>
      <c r="D16" s="26"/>
      <c r="E16" s="26"/>
      <c r="F16" s="26"/>
      <c r="G16" s="29" t="s">
        <v>15</v>
      </c>
      <c r="H16" s="29" t="s">
        <v>15</v>
      </c>
      <c r="I16" s="26"/>
      <c r="J16" s="26"/>
      <c r="K16" s="26"/>
      <c r="L16" s="26"/>
      <c r="M16" s="26">
        <v>1</v>
      </c>
      <c r="N16" s="26">
        <v>1</v>
      </c>
      <c r="O16" s="26">
        <v>1</v>
      </c>
      <c r="P16" s="26">
        <v>1</v>
      </c>
      <c r="Q16" s="26">
        <v>1</v>
      </c>
      <c r="R16" s="26">
        <v>1</v>
      </c>
      <c r="S16" s="26">
        <v>1</v>
      </c>
      <c r="T16" s="26">
        <v>1</v>
      </c>
      <c r="U16" s="26">
        <v>1</v>
      </c>
      <c r="V16" s="26">
        <v>1</v>
      </c>
      <c r="W16" s="26">
        <v>1</v>
      </c>
      <c r="X16" s="26">
        <v>1</v>
      </c>
      <c r="Y16" s="26">
        <v>1</v>
      </c>
      <c r="Z16" s="26">
        <v>1</v>
      </c>
      <c r="AA16" s="26">
        <v>1</v>
      </c>
      <c r="AB16" s="26">
        <v>1</v>
      </c>
      <c r="AC16" s="26">
        <v>1</v>
      </c>
      <c r="AD16" s="26">
        <v>1</v>
      </c>
      <c r="AE16" s="26">
        <v>1</v>
      </c>
      <c r="AF16" s="26">
        <v>1</v>
      </c>
      <c r="AG16" s="26">
        <v>1</v>
      </c>
      <c r="AH16" s="26">
        <v>1</v>
      </c>
      <c r="AI16" s="26">
        <v>1</v>
      </c>
      <c r="AJ16" s="26">
        <v>1</v>
      </c>
      <c r="AK16" s="26">
        <v>1</v>
      </c>
      <c r="AL16" s="26">
        <v>1</v>
      </c>
      <c r="AM16" s="26">
        <v>1</v>
      </c>
      <c r="AN16" s="26">
        <v>1</v>
      </c>
      <c r="AO16" s="26">
        <v>1</v>
      </c>
      <c r="AP16" s="26">
        <v>1</v>
      </c>
      <c r="AQ16" s="26">
        <v>1</v>
      </c>
      <c r="AR16" s="26">
        <v>1</v>
      </c>
      <c r="AS16" s="26">
        <v>1</v>
      </c>
      <c r="AT16" s="26">
        <v>1</v>
      </c>
      <c r="AU16" s="26">
        <v>1</v>
      </c>
      <c r="AV16" s="26">
        <v>1</v>
      </c>
      <c r="AW16" s="26">
        <v>1</v>
      </c>
      <c r="AX16" s="26">
        <v>1</v>
      </c>
      <c r="AY16" s="26">
        <v>1</v>
      </c>
      <c r="AZ16" s="26">
        <v>1</v>
      </c>
      <c r="BA16" s="26">
        <v>1</v>
      </c>
      <c r="BB16" s="26">
        <v>1</v>
      </c>
      <c r="BC16" s="26">
        <v>1</v>
      </c>
      <c r="BD16" s="26">
        <v>1</v>
      </c>
      <c r="BE16" s="26">
        <v>1</v>
      </c>
      <c r="BF16" s="26">
        <v>1</v>
      </c>
      <c r="BG16" s="26">
        <v>1</v>
      </c>
      <c r="BH16" s="26">
        <v>1</v>
      </c>
      <c r="BI16" s="29" t="s">
        <v>16</v>
      </c>
      <c r="BJ16" s="26">
        <v>1</v>
      </c>
      <c r="BK16" s="26">
        <v>1</v>
      </c>
      <c r="BL16" s="26">
        <v>1</v>
      </c>
      <c r="BM16" s="26">
        <v>1</v>
      </c>
      <c r="BN16" s="26">
        <v>1</v>
      </c>
      <c r="BO16" s="26">
        <v>1</v>
      </c>
      <c r="BP16" s="26">
        <v>1</v>
      </c>
      <c r="BQ16" s="26">
        <v>1</v>
      </c>
      <c r="BR16" s="26">
        <v>1</v>
      </c>
      <c r="BS16" s="29" t="s">
        <v>17</v>
      </c>
      <c r="BT16" s="26">
        <v>1</v>
      </c>
      <c r="BU16" s="26">
        <v>1</v>
      </c>
      <c r="BV16" s="26">
        <v>1</v>
      </c>
      <c r="BW16" s="26">
        <v>1</v>
      </c>
      <c r="BX16" s="26">
        <v>1</v>
      </c>
      <c r="BY16" s="26">
        <v>1</v>
      </c>
      <c r="BZ16" s="26">
        <v>1</v>
      </c>
      <c r="CA16" s="26">
        <v>1</v>
      </c>
      <c r="CB16" s="26">
        <v>1</v>
      </c>
      <c r="CC16" s="26">
        <v>1</v>
      </c>
      <c r="CD16" s="36">
        <v>1</v>
      </c>
      <c r="CE16" s="36">
        <v>1</v>
      </c>
      <c r="CF16" s="36">
        <v>1</v>
      </c>
      <c r="CG16" s="36">
        <v>1</v>
      </c>
      <c r="CH16" s="36">
        <v>1</v>
      </c>
      <c r="CI16" s="36">
        <v>1</v>
      </c>
      <c r="CJ16" s="34" t="s">
        <v>18</v>
      </c>
      <c r="CK16" s="34" t="s">
        <v>18</v>
      </c>
      <c r="CL16" s="34" t="s">
        <v>18</v>
      </c>
      <c r="CM16" s="34" t="s">
        <v>18</v>
      </c>
      <c r="CN16" s="34" t="s">
        <v>18</v>
      </c>
      <c r="CO16" s="34" t="s">
        <v>18</v>
      </c>
      <c r="CP16" s="26">
        <v>1</v>
      </c>
      <c r="CQ16" s="26">
        <v>1</v>
      </c>
      <c r="CR16" s="26">
        <v>1</v>
      </c>
      <c r="CS16" s="26">
        <v>1</v>
      </c>
      <c r="CT16" s="26">
        <v>1</v>
      </c>
      <c r="CU16" s="26">
        <v>1</v>
      </c>
      <c r="CV16" s="26">
        <v>1</v>
      </c>
      <c r="CW16" s="26">
        <v>1</v>
      </c>
      <c r="CX16" s="26">
        <v>1</v>
      </c>
      <c r="CY16" s="26">
        <v>1</v>
      </c>
      <c r="CZ16" s="26">
        <v>1</v>
      </c>
      <c r="DA16" s="26">
        <v>1</v>
      </c>
      <c r="DB16" s="26">
        <v>1</v>
      </c>
      <c r="DC16" s="26">
        <v>1</v>
      </c>
      <c r="DD16" s="27">
        <v>1</v>
      </c>
      <c r="DE16" s="29" t="s">
        <v>30</v>
      </c>
      <c r="DF16" s="26">
        <v>1</v>
      </c>
      <c r="DG16" s="26">
        <v>1</v>
      </c>
      <c r="DH16" s="26">
        <v>1</v>
      </c>
      <c r="DI16" s="26">
        <v>1</v>
      </c>
      <c r="DJ16" s="26">
        <v>1</v>
      </c>
      <c r="DK16" s="26">
        <v>1</v>
      </c>
      <c r="DL16" s="26">
        <v>1</v>
      </c>
      <c r="DM16" s="27">
        <v>1</v>
      </c>
      <c r="DN16" s="26">
        <v>1</v>
      </c>
      <c r="DO16" s="26">
        <v>1</v>
      </c>
      <c r="DP16" s="29" t="s">
        <v>45</v>
      </c>
      <c r="DQ16" s="26">
        <v>1</v>
      </c>
      <c r="DR16" s="26">
        <v>1</v>
      </c>
      <c r="DS16" s="26">
        <v>1</v>
      </c>
      <c r="DT16" s="26">
        <v>1</v>
      </c>
      <c r="DU16" s="26">
        <v>1</v>
      </c>
      <c r="DV16" s="26">
        <v>1</v>
      </c>
      <c r="DW16" s="26">
        <v>1</v>
      </c>
      <c r="DX16" s="26">
        <v>1</v>
      </c>
      <c r="DY16" s="26">
        <v>1</v>
      </c>
      <c r="DZ16" s="31" t="s">
        <v>19</v>
      </c>
      <c r="EA16" s="31" t="s">
        <v>19</v>
      </c>
      <c r="EB16" s="31" t="s">
        <v>19</v>
      </c>
      <c r="EC16" s="31" t="s">
        <v>19</v>
      </c>
      <c r="ED16" s="31" t="s">
        <v>19</v>
      </c>
      <c r="EE16" s="31" t="s">
        <v>19</v>
      </c>
      <c r="EF16" s="26">
        <v>1</v>
      </c>
      <c r="EG16" s="26">
        <v>1</v>
      </c>
      <c r="EH16" s="26">
        <v>1</v>
      </c>
      <c r="EI16" s="26">
        <v>1</v>
      </c>
      <c r="EJ16" s="26">
        <v>1</v>
      </c>
      <c r="EK16" s="26">
        <v>1</v>
      </c>
      <c r="EL16" s="26">
        <v>1</v>
      </c>
      <c r="EM16" s="26">
        <v>1</v>
      </c>
      <c r="EN16" s="26">
        <v>1</v>
      </c>
      <c r="EO16" s="26">
        <v>1</v>
      </c>
      <c r="EP16" s="26">
        <v>1</v>
      </c>
      <c r="EQ16" s="26">
        <v>1</v>
      </c>
      <c r="ER16" s="26">
        <v>1</v>
      </c>
      <c r="ES16" s="26">
        <v>1</v>
      </c>
      <c r="ET16" s="26">
        <v>1</v>
      </c>
      <c r="EU16" s="26">
        <v>1</v>
      </c>
      <c r="EV16" s="26">
        <v>1</v>
      </c>
      <c r="EW16" s="26">
        <v>1</v>
      </c>
      <c r="EX16" s="26">
        <v>1</v>
      </c>
      <c r="EY16" s="26">
        <v>1</v>
      </c>
      <c r="EZ16" s="26">
        <v>1</v>
      </c>
      <c r="FA16" s="26">
        <v>1</v>
      </c>
      <c r="FB16" s="26">
        <v>1</v>
      </c>
      <c r="FC16" s="26">
        <v>1</v>
      </c>
      <c r="FD16" s="26">
        <v>1</v>
      </c>
      <c r="FE16" s="26">
        <v>1</v>
      </c>
      <c r="FF16" s="26">
        <v>1</v>
      </c>
      <c r="FG16" s="26">
        <v>1</v>
      </c>
      <c r="FH16" s="26">
        <v>1</v>
      </c>
      <c r="FI16" s="26">
        <v>1</v>
      </c>
      <c r="FJ16" s="26">
        <v>1</v>
      </c>
      <c r="FK16" s="26">
        <v>1</v>
      </c>
      <c r="FL16" s="26">
        <v>1</v>
      </c>
      <c r="FM16" s="26">
        <v>1</v>
      </c>
      <c r="FN16" s="26">
        <v>1</v>
      </c>
      <c r="FO16" s="26">
        <v>1</v>
      </c>
      <c r="FP16" s="34" t="s">
        <v>20</v>
      </c>
      <c r="FQ16" s="34" t="s">
        <v>20</v>
      </c>
      <c r="FR16" s="34" t="s">
        <v>20</v>
      </c>
      <c r="FS16" s="34" t="s">
        <v>20</v>
      </c>
      <c r="FT16" s="34" t="s">
        <v>20</v>
      </c>
      <c r="FU16" s="34" t="s">
        <v>20</v>
      </c>
      <c r="FV16" s="73">
        <v>1</v>
      </c>
      <c r="FW16" s="73">
        <v>1</v>
      </c>
      <c r="FX16" s="73">
        <v>1</v>
      </c>
      <c r="FY16" s="26">
        <v>1</v>
      </c>
      <c r="FZ16" s="26">
        <v>1</v>
      </c>
      <c r="GA16" s="26">
        <v>1</v>
      </c>
      <c r="GB16" s="36">
        <v>1</v>
      </c>
      <c r="GC16" s="36">
        <v>1</v>
      </c>
      <c r="GD16" s="36">
        <v>1</v>
      </c>
      <c r="GE16" s="36">
        <v>1</v>
      </c>
      <c r="GF16" s="36">
        <v>1</v>
      </c>
      <c r="GG16" s="36">
        <v>1</v>
      </c>
      <c r="GH16" s="26">
        <v>1</v>
      </c>
      <c r="GI16" s="26">
        <v>1</v>
      </c>
      <c r="GJ16" s="26">
        <v>1</v>
      </c>
      <c r="GK16" s="26">
        <v>1</v>
      </c>
      <c r="GL16" s="26">
        <v>1</v>
      </c>
      <c r="GM16" s="26">
        <v>1</v>
      </c>
      <c r="GN16" s="26">
        <v>1</v>
      </c>
      <c r="GO16" s="26">
        <v>1</v>
      </c>
      <c r="GP16" s="26">
        <v>1</v>
      </c>
      <c r="GQ16" s="26">
        <v>1</v>
      </c>
      <c r="GR16" s="26">
        <v>1</v>
      </c>
      <c r="GS16" s="26">
        <v>1</v>
      </c>
      <c r="GT16" s="26">
        <v>1</v>
      </c>
      <c r="GU16" s="26">
        <v>1</v>
      </c>
      <c r="GV16" s="26">
        <v>1</v>
      </c>
      <c r="GW16" s="26">
        <v>1</v>
      </c>
      <c r="GX16" s="26">
        <v>1</v>
      </c>
      <c r="GY16" s="26">
        <v>1</v>
      </c>
      <c r="GZ16" s="26">
        <v>1</v>
      </c>
      <c r="HA16" s="26">
        <v>1</v>
      </c>
      <c r="HB16" s="26">
        <v>1</v>
      </c>
      <c r="HC16" s="27">
        <v>1</v>
      </c>
      <c r="HD16" s="29" t="s">
        <v>46</v>
      </c>
      <c r="HE16" s="26">
        <v>1</v>
      </c>
      <c r="HF16" s="34" t="s">
        <v>49</v>
      </c>
      <c r="HG16" s="34" t="s">
        <v>49</v>
      </c>
      <c r="HH16" s="34" t="s">
        <v>49</v>
      </c>
      <c r="HI16" s="34" t="s">
        <v>49</v>
      </c>
      <c r="HJ16" s="34" t="s">
        <v>49</v>
      </c>
      <c r="HK16" s="34" t="s">
        <v>49</v>
      </c>
      <c r="HL16" s="26">
        <v>1</v>
      </c>
      <c r="HM16" s="26">
        <v>1</v>
      </c>
      <c r="HN16" s="26">
        <v>1</v>
      </c>
      <c r="HO16" s="26">
        <v>1</v>
      </c>
      <c r="HP16" s="26">
        <v>1</v>
      </c>
      <c r="HQ16" s="26">
        <v>1</v>
      </c>
      <c r="HR16" s="26">
        <v>1</v>
      </c>
      <c r="HS16" s="26">
        <v>1</v>
      </c>
      <c r="HT16" s="26">
        <v>1</v>
      </c>
      <c r="HU16" s="26">
        <v>1</v>
      </c>
      <c r="HV16" s="26">
        <v>1</v>
      </c>
      <c r="HW16" s="26">
        <v>1</v>
      </c>
      <c r="HX16" s="26">
        <v>1</v>
      </c>
      <c r="HY16" s="26">
        <v>1</v>
      </c>
      <c r="HZ16" s="29" t="s">
        <v>22</v>
      </c>
      <c r="IA16" s="29" t="s">
        <v>22</v>
      </c>
      <c r="IB16" s="29" t="s">
        <v>22</v>
      </c>
      <c r="IC16" s="26">
        <v>1</v>
      </c>
      <c r="ID16" s="26">
        <v>1</v>
      </c>
      <c r="IE16" s="26">
        <v>1</v>
      </c>
      <c r="IF16" s="3" t="s">
        <v>21</v>
      </c>
      <c r="IG16" s="3" t="s">
        <v>21</v>
      </c>
      <c r="IH16" s="3" t="s">
        <v>21</v>
      </c>
      <c r="II16" s="3" t="s">
        <v>21</v>
      </c>
      <c r="IJ16" s="3" t="s">
        <v>21</v>
      </c>
      <c r="IK16" s="3" t="s">
        <v>21</v>
      </c>
      <c r="IL16" s="3" t="s">
        <v>21</v>
      </c>
      <c r="IM16" s="3" t="s">
        <v>21</v>
      </c>
      <c r="IN16" s="3" t="s">
        <v>21</v>
      </c>
      <c r="IO16" s="74"/>
      <c r="IP16" s="74"/>
      <c r="IQ16" s="29" t="s">
        <v>47</v>
      </c>
      <c r="IR16" s="74"/>
      <c r="IS16" s="74"/>
      <c r="IT16" s="74"/>
      <c r="IU16" s="26"/>
      <c r="IV16" s="26"/>
      <c r="IW16" s="26"/>
      <c r="IX16" s="26"/>
      <c r="IY16" s="27"/>
      <c r="IZ16" s="26"/>
      <c r="JA16" s="26"/>
      <c r="JB16" s="26"/>
      <c r="JC16" s="26"/>
      <c r="JD16" s="26"/>
      <c r="JE16" s="26"/>
      <c r="JF16" s="26"/>
      <c r="JG16" s="26"/>
      <c r="JH16" s="36"/>
      <c r="JI16" s="36"/>
      <c r="JJ16" s="36"/>
      <c r="JK16" s="36"/>
      <c r="JL16" s="36"/>
      <c r="JM16" s="36"/>
      <c r="JN16" s="26"/>
      <c r="JO16" s="26"/>
      <c r="JP16" s="26"/>
      <c r="JQ16" s="26"/>
      <c r="JR16" s="26"/>
      <c r="JS16" s="26"/>
      <c r="JT16" s="12">
        <f t="shared" si="16"/>
        <v>195</v>
      </c>
      <c r="JU16" s="12">
        <f t="shared" si="14"/>
        <v>0</v>
      </c>
      <c r="JV16" s="12">
        <f t="shared" si="15"/>
        <v>0</v>
      </c>
      <c r="JW16" s="22">
        <f t="shared" si="12"/>
        <v>32.5</v>
      </c>
      <c r="JX16" s="13"/>
      <c r="JY16" s="17">
        <f t="shared" si="13"/>
        <v>9</v>
      </c>
      <c r="JZ16" s="13">
        <f t="shared" si="17"/>
        <v>4.6153846153846156E-2</v>
      </c>
      <c r="KA16" s="4" t="s">
        <v>39</v>
      </c>
    </row>
    <row r="17" spans="1:287" ht="18.75" customHeight="1" x14ac:dyDescent="0.25">
      <c r="A17" s="5" t="s">
        <v>31</v>
      </c>
      <c r="B17" s="15" t="s">
        <v>28</v>
      </c>
      <c r="C17" s="14">
        <f t="shared" si="11"/>
        <v>5.7692307692307696E-2</v>
      </c>
      <c r="D17" s="26"/>
      <c r="E17" s="26"/>
      <c r="F17" s="26"/>
      <c r="G17" s="29" t="s">
        <v>15</v>
      </c>
      <c r="H17" s="29" t="s">
        <v>15</v>
      </c>
      <c r="I17" s="41"/>
      <c r="J17" s="26">
        <v>1</v>
      </c>
      <c r="K17" s="26">
        <v>1</v>
      </c>
      <c r="L17" s="26">
        <v>1</v>
      </c>
      <c r="M17" s="41"/>
      <c r="N17" s="41"/>
      <c r="O17" s="41"/>
      <c r="P17" s="27">
        <v>1</v>
      </c>
      <c r="Q17" s="26">
        <v>1</v>
      </c>
      <c r="R17" s="26">
        <v>1</v>
      </c>
      <c r="S17" s="41"/>
      <c r="T17" s="41"/>
      <c r="U17" s="41"/>
      <c r="V17" s="26">
        <v>1</v>
      </c>
      <c r="W17" s="26">
        <v>1</v>
      </c>
      <c r="X17" s="26">
        <v>1</v>
      </c>
      <c r="Y17" s="41"/>
      <c r="Z17" s="41"/>
      <c r="AA17" s="41"/>
      <c r="AB17" s="26">
        <v>1</v>
      </c>
      <c r="AC17" s="26">
        <v>1</v>
      </c>
      <c r="AD17" s="26">
        <v>1</v>
      </c>
      <c r="AE17" s="41"/>
      <c r="AF17" s="41"/>
      <c r="AG17" s="41"/>
      <c r="AH17" s="26">
        <v>1</v>
      </c>
      <c r="AI17" s="26">
        <v>1</v>
      </c>
      <c r="AJ17" s="26">
        <v>1</v>
      </c>
      <c r="AK17" s="41"/>
      <c r="AL17" s="41"/>
      <c r="AM17" s="41"/>
      <c r="AN17" s="26">
        <v>1</v>
      </c>
      <c r="AO17" s="26">
        <v>1</v>
      </c>
      <c r="AP17" s="26">
        <v>1</v>
      </c>
      <c r="AQ17" s="41"/>
      <c r="AR17" s="41"/>
      <c r="AS17" s="41"/>
      <c r="AT17" s="26" t="s">
        <v>48</v>
      </c>
      <c r="AU17" s="26" t="s">
        <v>48</v>
      </c>
      <c r="AV17" s="26" t="s">
        <v>48</v>
      </c>
      <c r="AW17" s="26" t="s">
        <v>48</v>
      </c>
      <c r="AX17" s="26" t="s">
        <v>48</v>
      </c>
      <c r="AY17" s="26" t="s">
        <v>48</v>
      </c>
      <c r="AZ17" s="26">
        <v>1</v>
      </c>
      <c r="BA17" s="26">
        <v>1</v>
      </c>
      <c r="BB17" s="26">
        <v>1</v>
      </c>
      <c r="BC17" s="41"/>
      <c r="BD17" s="41"/>
      <c r="BE17" s="41"/>
      <c r="BF17" s="26">
        <v>1</v>
      </c>
      <c r="BG17" s="26">
        <v>1</v>
      </c>
      <c r="BH17" s="26">
        <v>1</v>
      </c>
      <c r="BI17" s="29" t="s">
        <v>16</v>
      </c>
      <c r="BJ17" s="26"/>
      <c r="BK17" s="26"/>
      <c r="BL17" s="26">
        <v>1</v>
      </c>
      <c r="BM17" s="26">
        <v>1</v>
      </c>
      <c r="BN17" s="26">
        <v>1</v>
      </c>
      <c r="BO17" s="41"/>
      <c r="BP17" s="41"/>
      <c r="BQ17" s="41"/>
      <c r="BR17" s="26">
        <v>1</v>
      </c>
      <c r="BS17" s="29" t="s">
        <v>17</v>
      </c>
      <c r="BT17" s="26">
        <v>1</v>
      </c>
      <c r="BU17" s="41"/>
      <c r="BV17" s="41"/>
      <c r="BW17" s="41"/>
      <c r="BX17" s="26">
        <v>1</v>
      </c>
      <c r="BY17" s="26">
        <v>1</v>
      </c>
      <c r="BZ17" s="26">
        <v>1</v>
      </c>
      <c r="CA17" s="41"/>
      <c r="CB17" s="41"/>
      <c r="CC17" s="41"/>
      <c r="CD17" s="36">
        <v>1</v>
      </c>
      <c r="CE17" s="36">
        <v>1</v>
      </c>
      <c r="CF17" s="36">
        <v>1</v>
      </c>
      <c r="CG17" s="41"/>
      <c r="CH17" s="41"/>
      <c r="CI17" s="41"/>
      <c r="CJ17" s="34" t="s">
        <v>18</v>
      </c>
      <c r="CK17" s="34" t="s">
        <v>18</v>
      </c>
      <c r="CL17" s="34" t="s">
        <v>18</v>
      </c>
      <c r="CM17" s="34" t="s">
        <v>18</v>
      </c>
      <c r="CN17" s="34" t="s">
        <v>18</v>
      </c>
      <c r="CO17" s="34" t="s">
        <v>18</v>
      </c>
      <c r="CP17" s="26">
        <v>1</v>
      </c>
      <c r="CQ17" s="26">
        <v>1</v>
      </c>
      <c r="CR17" s="26">
        <v>1</v>
      </c>
      <c r="CS17" s="41"/>
      <c r="CT17" s="41"/>
      <c r="CU17" s="41"/>
      <c r="CV17" s="26">
        <v>1</v>
      </c>
      <c r="CW17" s="26">
        <v>1</v>
      </c>
      <c r="CX17" s="26">
        <v>1</v>
      </c>
      <c r="CY17" s="41"/>
      <c r="CZ17" s="41"/>
      <c r="DA17" s="41"/>
      <c r="DB17" s="26">
        <v>1</v>
      </c>
      <c r="DC17" s="26">
        <v>1</v>
      </c>
      <c r="DD17" s="27">
        <v>1</v>
      </c>
      <c r="DE17" s="29" t="s">
        <v>30</v>
      </c>
      <c r="DF17" s="26"/>
      <c r="DG17" s="26"/>
      <c r="DH17" s="26">
        <v>1</v>
      </c>
      <c r="DI17" s="26">
        <v>1</v>
      </c>
      <c r="DJ17" s="26">
        <v>1</v>
      </c>
      <c r="DK17" s="41"/>
      <c r="DL17" s="41"/>
      <c r="DM17" s="41"/>
      <c r="DN17" s="26">
        <v>1</v>
      </c>
      <c r="DO17" s="24">
        <v>1</v>
      </c>
      <c r="DP17" s="29" t="s">
        <v>45</v>
      </c>
      <c r="DQ17" s="41"/>
      <c r="DR17" s="41"/>
      <c r="DS17" s="41"/>
      <c r="DT17" s="26">
        <v>1</v>
      </c>
      <c r="DU17" s="26">
        <v>1</v>
      </c>
      <c r="DV17" s="26">
        <v>1</v>
      </c>
      <c r="DW17" s="41"/>
      <c r="DX17" s="41"/>
      <c r="DY17" s="41"/>
      <c r="DZ17" s="31" t="s">
        <v>19</v>
      </c>
      <c r="EA17" s="31" t="s">
        <v>19</v>
      </c>
      <c r="EB17" s="31" t="s">
        <v>19</v>
      </c>
      <c r="EC17" s="31" t="s">
        <v>19</v>
      </c>
      <c r="ED17" s="31" t="s">
        <v>19</v>
      </c>
      <c r="EE17" s="31" t="s">
        <v>19</v>
      </c>
      <c r="EF17" s="26">
        <v>1</v>
      </c>
      <c r="EG17" s="26">
        <v>1</v>
      </c>
      <c r="EH17" s="26">
        <v>1</v>
      </c>
      <c r="EI17" s="41"/>
      <c r="EJ17" s="41"/>
      <c r="EK17" s="41"/>
      <c r="EL17" s="26">
        <v>1</v>
      </c>
      <c r="EM17" s="26">
        <v>1</v>
      </c>
      <c r="EN17" s="26">
        <v>1</v>
      </c>
      <c r="EO17" s="41"/>
      <c r="EP17" s="41"/>
      <c r="EQ17" s="41"/>
      <c r="ER17" s="26">
        <v>1</v>
      </c>
      <c r="ES17" s="26">
        <v>1</v>
      </c>
      <c r="ET17" s="26">
        <v>1</v>
      </c>
      <c r="EU17" s="41"/>
      <c r="EV17" s="41"/>
      <c r="EW17" s="41"/>
      <c r="EX17" s="26">
        <v>1</v>
      </c>
      <c r="EY17" s="26">
        <v>1</v>
      </c>
      <c r="EZ17" s="26">
        <v>1</v>
      </c>
      <c r="FA17" s="41"/>
      <c r="FB17" s="41"/>
      <c r="FC17" s="41"/>
      <c r="FD17" s="26">
        <v>1</v>
      </c>
      <c r="FE17" s="26">
        <v>1</v>
      </c>
      <c r="FF17" s="26">
        <v>1</v>
      </c>
      <c r="FG17" s="41"/>
      <c r="FH17" s="41"/>
      <c r="FI17" s="41"/>
      <c r="FJ17" s="26">
        <v>1</v>
      </c>
      <c r="FK17" s="26">
        <v>1</v>
      </c>
      <c r="FL17" s="26">
        <v>1</v>
      </c>
      <c r="FM17" s="26"/>
      <c r="FN17" s="26"/>
      <c r="FO17" s="26"/>
      <c r="FP17" s="34" t="s">
        <v>20</v>
      </c>
      <c r="FQ17" s="34" t="s">
        <v>20</v>
      </c>
      <c r="FR17" s="34" t="s">
        <v>20</v>
      </c>
      <c r="FS17" s="34" t="s">
        <v>20</v>
      </c>
      <c r="FT17" s="34" t="s">
        <v>20</v>
      </c>
      <c r="FU17" s="34" t="s">
        <v>20</v>
      </c>
      <c r="FV17" s="73">
        <v>1</v>
      </c>
      <c r="FW17" s="73">
        <v>1</v>
      </c>
      <c r="FX17" s="73">
        <v>1</v>
      </c>
      <c r="FY17" s="41"/>
      <c r="FZ17" s="41"/>
      <c r="GA17" s="41"/>
      <c r="GB17" s="71">
        <v>1</v>
      </c>
      <c r="GC17" s="71">
        <v>1</v>
      </c>
      <c r="GD17" s="71">
        <v>1</v>
      </c>
      <c r="GE17" s="78"/>
      <c r="GF17" s="78"/>
      <c r="GG17" s="78"/>
      <c r="GH17" s="26">
        <v>1</v>
      </c>
      <c r="GI17" s="26">
        <v>1</v>
      </c>
      <c r="GJ17" s="26">
        <v>1</v>
      </c>
      <c r="GK17" s="41"/>
      <c r="GL17" s="41"/>
      <c r="GM17" s="41"/>
      <c r="GN17" s="26">
        <v>1</v>
      </c>
      <c r="GO17" s="26">
        <v>1</v>
      </c>
      <c r="GP17" s="26">
        <v>1</v>
      </c>
      <c r="GQ17" s="41"/>
      <c r="GR17" s="41"/>
      <c r="GS17" s="41"/>
      <c r="GT17" s="26">
        <v>1</v>
      </c>
      <c r="GU17" s="26">
        <v>1</v>
      </c>
      <c r="GV17" s="26">
        <v>1</v>
      </c>
      <c r="GW17" s="41"/>
      <c r="GX17" s="41"/>
      <c r="GY17" s="41"/>
      <c r="GZ17" s="26">
        <v>1</v>
      </c>
      <c r="HA17" s="26">
        <v>1</v>
      </c>
      <c r="HB17" s="26">
        <v>1</v>
      </c>
      <c r="HC17" s="41"/>
      <c r="HD17" s="29" t="s">
        <v>46</v>
      </c>
      <c r="HE17" s="41"/>
      <c r="HF17" s="34" t="s">
        <v>49</v>
      </c>
      <c r="HG17" s="34" t="s">
        <v>49</v>
      </c>
      <c r="HH17" s="34" t="s">
        <v>49</v>
      </c>
      <c r="HI17" s="34" t="s">
        <v>49</v>
      </c>
      <c r="HJ17" s="34" t="s">
        <v>49</v>
      </c>
      <c r="HK17" s="34" t="s">
        <v>49</v>
      </c>
      <c r="HL17" s="26">
        <v>1</v>
      </c>
      <c r="HM17" s="26">
        <v>1</v>
      </c>
      <c r="HN17" s="26">
        <v>1</v>
      </c>
      <c r="HO17" s="26">
        <v>1</v>
      </c>
      <c r="HP17" s="26">
        <v>1</v>
      </c>
      <c r="HQ17" s="26">
        <v>1</v>
      </c>
      <c r="HR17" s="26">
        <v>1</v>
      </c>
      <c r="HS17" s="26">
        <v>1</v>
      </c>
      <c r="HT17" s="26">
        <v>1</v>
      </c>
      <c r="HU17" s="26">
        <v>1</v>
      </c>
      <c r="HV17" s="26">
        <v>1</v>
      </c>
      <c r="HW17" s="26">
        <v>1</v>
      </c>
      <c r="HX17" s="26">
        <v>1</v>
      </c>
      <c r="HY17" s="26">
        <v>1</v>
      </c>
      <c r="HZ17" s="29" t="s">
        <v>22</v>
      </c>
      <c r="IA17" s="29" t="s">
        <v>22</v>
      </c>
      <c r="IB17" s="29" t="s">
        <v>22</v>
      </c>
      <c r="IC17" s="26"/>
      <c r="ID17" s="26">
        <v>1</v>
      </c>
      <c r="IE17" s="26">
        <v>1</v>
      </c>
      <c r="IF17" s="3" t="s">
        <v>21</v>
      </c>
      <c r="IG17" s="3" t="s">
        <v>21</v>
      </c>
      <c r="IH17" s="3" t="s">
        <v>21</v>
      </c>
      <c r="II17" s="3" t="s">
        <v>21</v>
      </c>
      <c r="IJ17" s="3" t="s">
        <v>21</v>
      </c>
      <c r="IK17" s="3" t="s">
        <v>21</v>
      </c>
      <c r="IL17" s="3" t="s">
        <v>21</v>
      </c>
      <c r="IM17" s="3" t="s">
        <v>21</v>
      </c>
      <c r="IN17" s="3" t="s">
        <v>21</v>
      </c>
      <c r="IO17" s="74"/>
      <c r="IP17" s="74"/>
      <c r="IQ17" s="29" t="s">
        <v>47</v>
      </c>
      <c r="IR17" s="74"/>
      <c r="IS17" s="74"/>
      <c r="IT17" s="74"/>
      <c r="IU17" s="26"/>
      <c r="IV17" s="26"/>
      <c r="IW17" s="26"/>
      <c r="IX17" s="26"/>
      <c r="IY17" s="27"/>
      <c r="IZ17" s="26"/>
      <c r="JA17" s="26"/>
      <c r="JB17" s="26"/>
      <c r="JC17" s="26"/>
      <c r="JD17" s="26"/>
      <c r="JE17" s="26"/>
      <c r="JF17" s="26"/>
      <c r="JG17" s="26"/>
      <c r="JH17" s="36"/>
      <c r="JI17" s="36"/>
      <c r="JJ17" s="36"/>
      <c r="JK17" s="36"/>
      <c r="JL17" s="36"/>
      <c r="JM17" s="36"/>
      <c r="JN17" s="26"/>
      <c r="JO17" s="26"/>
      <c r="JP17" s="26"/>
      <c r="JQ17" s="26"/>
      <c r="JR17" s="26"/>
      <c r="JS17" s="26"/>
      <c r="JT17" s="15">
        <f t="shared" si="16"/>
        <v>104</v>
      </c>
      <c r="JU17" s="15">
        <f t="shared" si="14"/>
        <v>0</v>
      </c>
      <c r="JV17" s="15">
        <f t="shared" si="15"/>
        <v>0</v>
      </c>
      <c r="JW17" s="23">
        <f t="shared" si="12"/>
        <v>17.333333333333332</v>
      </c>
      <c r="JX17" s="14"/>
      <c r="JY17" s="17">
        <f t="shared" si="13"/>
        <v>6</v>
      </c>
      <c r="JZ17" s="14">
        <f t="shared" si="17"/>
        <v>5.7692307692307696E-2</v>
      </c>
      <c r="KA17" s="5" t="s">
        <v>31</v>
      </c>
    </row>
    <row r="18" spans="1:287" ht="18.75" customHeight="1" x14ac:dyDescent="0.25">
      <c r="A18" s="5" t="s">
        <v>32</v>
      </c>
      <c r="B18" s="15" t="s">
        <v>28</v>
      </c>
      <c r="C18" s="14">
        <f t="shared" si="11"/>
        <v>5.7692307692307696E-2</v>
      </c>
      <c r="D18" s="26"/>
      <c r="E18" s="26"/>
      <c r="F18" s="26"/>
      <c r="G18" s="29" t="s">
        <v>15</v>
      </c>
      <c r="H18" s="29" t="s">
        <v>15</v>
      </c>
      <c r="I18" s="41"/>
      <c r="J18" s="26">
        <v>1</v>
      </c>
      <c r="K18" s="26">
        <v>1</v>
      </c>
      <c r="L18" s="26">
        <v>1</v>
      </c>
      <c r="M18" s="41"/>
      <c r="N18" s="41"/>
      <c r="O18" s="41"/>
      <c r="P18" s="27">
        <v>1</v>
      </c>
      <c r="Q18" s="26">
        <v>1</v>
      </c>
      <c r="R18" s="26">
        <v>1</v>
      </c>
      <c r="S18" s="41"/>
      <c r="T18" s="41"/>
      <c r="U18" s="41"/>
      <c r="V18" s="26">
        <v>1</v>
      </c>
      <c r="W18" s="26">
        <v>1</v>
      </c>
      <c r="X18" s="26">
        <v>1</v>
      </c>
      <c r="Y18" s="41"/>
      <c r="Z18" s="41"/>
      <c r="AA18" s="41"/>
      <c r="AB18" s="26">
        <v>1</v>
      </c>
      <c r="AC18" s="26">
        <v>1</v>
      </c>
      <c r="AD18" s="26">
        <v>1</v>
      </c>
      <c r="AE18" s="41"/>
      <c r="AF18" s="41"/>
      <c r="AG18" s="41"/>
      <c r="AH18" s="26">
        <v>1</v>
      </c>
      <c r="AI18" s="26">
        <v>1</v>
      </c>
      <c r="AJ18" s="26">
        <v>1</v>
      </c>
      <c r="AK18" s="41"/>
      <c r="AL18" s="41"/>
      <c r="AM18" s="41"/>
      <c r="AN18" s="26">
        <v>1</v>
      </c>
      <c r="AO18" s="26">
        <v>1</v>
      </c>
      <c r="AP18" s="26">
        <v>1</v>
      </c>
      <c r="AQ18" s="41"/>
      <c r="AR18" s="41"/>
      <c r="AS18" s="41"/>
      <c r="AT18" s="26" t="s">
        <v>48</v>
      </c>
      <c r="AU18" s="26" t="s">
        <v>48</v>
      </c>
      <c r="AV18" s="26" t="s">
        <v>48</v>
      </c>
      <c r="AW18" s="26" t="s">
        <v>48</v>
      </c>
      <c r="AX18" s="26" t="s">
        <v>48</v>
      </c>
      <c r="AY18" s="26" t="s">
        <v>48</v>
      </c>
      <c r="AZ18" s="26">
        <v>1</v>
      </c>
      <c r="BA18" s="26">
        <v>1</v>
      </c>
      <c r="BB18" s="26">
        <v>1</v>
      </c>
      <c r="BC18" s="41"/>
      <c r="BD18" s="41"/>
      <c r="BE18" s="41"/>
      <c r="BF18" s="26">
        <v>1</v>
      </c>
      <c r="BG18" s="26">
        <v>1</v>
      </c>
      <c r="BH18" s="26">
        <v>1</v>
      </c>
      <c r="BI18" s="29" t="s">
        <v>16</v>
      </c>
      <c r="BJ18" s="26"/>
      <c r="BK18" s="26"/>
      <c r="BL18" s="26">
        <v>1</v>
      </c>
      <c r="BM18" s="26">
        <v>1</v>
      </c>
      <c r="BN18" s="26">
        <v>1</v>
      </c>
      <c r="BO18" s="41"/>
      <c r="BP18" s="41"/>
      <c r="BQ18" s="41"/>
      <c r="BR18" s="26">
        <v>1</v>
      </c>
      <c r="BS18" s="29" t="s">
        <v>17</v>
      </c>
      <c r="BT18" s="26">
        <v>1</v>
      </c>
      <c r="BU18" s="41"/>
      <c r="BV18" s="41"/>
      <c r="BW18" s="41"/>
      <c r="BX18" s="26">
        <v>1</v>
      </c>
      <c r="BY18" s="26">
        <v>1</v>
      </c>
      <c r="BZ18" s="26">
        <v>1</v>
      </c>
      <c r="CA18" s="41"/>
      <c r="CB18" s="41"/>
      <c r="CC18" s="41"/>
      <c r="CD18" s="36">
        <v>1</v>
      </c>
      <c r="CE18" s="36">
        <v>1</v>
      </c>
      <c r="CF18" s="36">
        <v>1</v>
      </c>
      <c r="CG18" s="41"/>
      <c r="CH18" s="41"/>
      <c r="CI18" s="41"/>
      <c r="CJ18" s="34" t="s">
        <v>18</v>
      </c>
      <c r="CK18" s="34" t="s">
        <v>18</v>
      </c>
      <c r="CL18" s="34" t="s">
        <v>18</v>
      </c>
      <c r="CM18" s="34" t="s">
        <v>18</v>
      </c>
      <c r="CN18" s="34" t="s">
        <v>18</v>
      </c>
      <c r="CO18" s="34" t="s">
        <v>18</v>
      </c>
      <c r="CP18" s="26">
        <v>1</v>
      </c>
      <c r="CQ18" s="26">
        <v>1</v>
      </c>
      <c r="CR18" s="26">
        <v>1</v>
      </c>
      <c r="CS18" s="41"/>
      <c r="CT18" s="41"/>
      <c r="CU18" s="41"/>
      <c r="CV18" s="26">
        <v>1</v>
      </c>
      <c r="CW18" s="26">
        <v>1</v>
      </c>
      <c r="CX18" s="26">
        <v>1</v>
      </c>
      <c r="CY18" s="41"/>
      <c r="CZ18" s="41"/>
      <c r="DA18" s="41"/>
      <c r="DB18" s="26">
        <v>1</v>
      </c>
      <c r="DC18" s="26">
        <v>1</v>
      </c>
      <c r="DD18" s="27">
        <v>1</v>
      </c>
      <c r="DE18" s="29" t="s">
        <v>30</v>
      </c>
      <c r="DF18" s="26"/>
      <c r="DG18" s="26"/>
      <c r="DH18" s="26">
        <v>1</v>
      </c>
      <c r="DI18" s="26">
        <v>1</v>
      </c>
      <c r="DJ18" s="26">
        <v>1</v>
      </c>
      <c r="DK18" s="41"/>
      <c r="DL18" s="41"/>
      <c r="DM18" s="41"/>
      <c r="DN18" s="26">
        <v>1</v>
      </c>
      <c r="DO18" s="26">
        <v>1</v>
      </c>
      <c r="DP18" s="29" t="s">
        <v>45</v>
      </c>
      <c r="DQ18" s="41"/>
      <c r="DR18" s="41"/>
      <c r="DS18" s="41"/>
      <c r="DT18" s="26">
        <v>1</v>
      </c>
      <c r="DU18" s="26">
        <v>1</v>
      </c>
      <c r="DV18" s="26">
        <v>1</v>
      </c>
      <c r="DW18" s="41"/>
      <c r="DX18" s="41"/>
      <c r="DY18" s="41"/>
      <c r="DZ18" s="31" t="s">
        <v>19</v>
      </c>
      <c r="EA18" s="31" t="s">
        <v>19</v>
      </c>
      <c r="EB18" s="31" t="s">
        <v>19</v>
      </c>
      <c r="EC18" s="31" t="s">
        <v>19</v>
      </c>
      <c r="ED18" s="31" t="s">
        <v>19</v>
      </c>
      <c r="EE18" s="31" t="s">
        <v>19</v>
      </c>
      <c r="EF18" s="26">
        <v>1</v>
      </c>
      <c r="EG18" s="26">
        <v>1</v>
      </c>
      <c r="EH18" s="26">
        <v>1</v>
      </c>
      <c r="EI18" s="41"/>
      <c r="EJ18" s="41"/>
      <c r="EK18" s="41"/>
      <c r="EL18" s="26">
        <v>1</v>
      </c>
      <c r="EM18" s="26">
        <v>1</v>
      </c>
      <c r="EN18" s="26">
        <v>1</v>
      </c>
      <c r="EO18" s="41"/>
      <c r="EP18" s="41"/>
      <c r="EQ18" s="41"/>
      <c r="ER18" s="26">
        <v>1</v>
      </c>
      <c r="ES18" s="26">
        <v>1</v>
      </c>
      <c r="ET18" s="26">
        <v>1</v>
      </c>
      <c r="EU18" s="41"/>
      <c r="EV18" s="41"/>
      <c r="EW18" s="41"/>
      <c r="EX18" s="26">
        <v>1</v>
      </c>
      <c r="EY18" s="26">
        <v>1</v>
      </c>
      <c r="EZ18" s="26">
        <v>1</v>
      </c>
      <c r="FA18" s="41"/>
      <c r="FB18" s="41"/>
      <c r="FC18" s="41"/>
      <c r="FD18" s="26">
        <v>1</v>
      </c>
      <c r="FE18" s="26">
        <v>1</v>
      </c>
      <c r="FF18" s="26">
        <v>1</v>
      </c>
      <c r="FG18" s="41"/>
      <c r="FH18" s="41"/>
      <c r="FI18" s="41"/>
      <c r="FJ18" s="26">
        <v>1</v>
      </c>
      <c r="FK18" s="26">
        <v>1</v>
      </c>
      <c r="FL18" s="26">
        <v>1</v>
      </c>
      <c r="FM18" s="26"/>
      <c r="FN18" s="26"/>
      <c r="FO18" s="26"/>
      <c r="FP18" s="34" t="s">
        <v>20</v>
      </c>
      <c r="FQ18" s="34" t="s">
        <v>20</v>
      </c>
      <c r="FR18" s="34" t="s">
        <v>20</v>
      </c>
      <c r="FS18" s="34" t="s">
        <v>20</v>
      </c>
      <c r="FT18" s="34" t="s">
        <v>20</v>
      </c>
      <c r="FU18" s="34" t="s">
        <v>20</v>
      </c>
      <c r="FV18" s="73">
        <v>1</v>
      </c>
      <c r="FW18" s="73">
        <v>1</v>
      </c>
      <c r="FX18" s="73">
        <v>1</v>
      </c>
      <c r="FY18" s="41"/>
      <c r="FZ18" s="41"/>
      <c r="GA18" s="41"/>
      <c r="GB18" s="71">
        <v>1</v>
      </c>
      <c r="GC18" s="71">
        <v>1</v>
      </c>
      <c r="GD18" s="71">
        <v>1</v>
      </c>
      <c r="GE18" s="78"/>
      <c r="GF18" s="78"/>
      <c r="GG18" s="78"/>
      <c r="GH18" s="26">
        <v>1</v>
      </c>
      <c r="GI18" s="26">
        <v>1</v>
      </c>
      <c r="GJ18" s="26">
        <v>1</v>
      </c>
      <c r="GK18" s="41"/>
      <c r="GL18" s="41"/>
      <c r="GM18" s="41"/>
      <c r="GN18" s="26">
        <v>1</v>
      </c>
      <c r="GO18" s="26">
        <v>1</v>
      </c>
      <c r="GP18" s="26">
        <v>1</v>
      </c>
      <c r="GQ18" s="41"/>
      <c r="GR18" s="41"/>
      <c r="GS18" s="41"/>
      <c r="GT18" s="26">
        <v>1</v>
      </c>
      <c r="GU18" s="26">
        <v>1</v>
      </c>
      <c r="GV18" s="26">
        <v>1</v>
      </c>
      <c r="GW18" s="41"/>
      <c r="GX18" s="41"/>
      <c r="GY18" s="41"/>
      <c r="GZ18" s="26">
        <v>1</v>
      </c>
      <c r="HA18" s="26">
        <v>1</v>
      </c>
      <c r="HB18" s="26">
        <v>1</v>
      </c>
      <c r="HC18" s="41"/>
      <c r="HD18" s="29" t="s">
        <v>46</v>
      </c>
      <c r="HE18" s="41"/>
      <c r="HF18" s="34" t="s">
        <v>49</v>
      </c>
      <c r="HG18" s="34" t="s">
        <v>49</v>
      </c>
      <c r="HH18" s="34" t="s">
        <v>49</v>
      </c>
      <c r="HI18" s="34" t="s">
        <v>49</v>
      </c>
      <c r="HJ18" s="34" t="s">
        <v>49</v>
      </c>
      <c r="HK18" s="34" t="s">
        <v>49</v>
      </c>
      <c r="HL18" s="26">
        <v>1</v>
      </c>
      <c r="HM18" s="26">
        <v>1</v>
      </c>
      <c r="HN18" s="26">
        <v>1</v>
      </c>
      <c r="HO18" s="26">
        <v>1</v>
      </c>
      <c r="HP18" s="26">
        <v>1</v>
      </c>
      <c r="HQ18" s="26">
        <v>1</v>
      </c>
      <c r="HR18" s="26">
        <v>1</v>
      </c>
      <c r="HS18" s="26">
        <v>1</v>
      </c>
      <c r="HT18" s="26">
        <v>1</v>
      </c>
      <c r="HU18" s="26">
        <v>1</v>
      </c>
      <c r="HV18" s="26">
        <v>1</v>
      </c>
      <c r="HW18" s="26">
        <v>1</v>
      </c>
      <c r="HX18" s="26">
        <v>1</v>
      </c>
      <c r="HY18" s="26">
        <v>1</v>
      </c>
      <c r="HZ18" s="29" t="s">
        <v>22</v>
      </c>
      <c r="IA18" s="29" t="s">
        <v>22</v>
      </c>
      <c r="IB18" s="29" t="s">
        <v>22</v>
      </c>
      <c r="IC18" s="26"/>
      <c r="ID18" s="26">
        <v>1</v>
      </c>
      <c r="IE18" s="26">
        <v>1</v>
      </c>
      <c r="IF18" s="3" t="s">
        <v>21</v>
      </c>
      <c r="IG18" s="3" t="s">
        <v>21</v>
      </c>
      <c r="IH18" s="3" t="s">
        <v>21</v>
      </c>
      <c r="II18" s="3" t="s">
        <v>21</v>
      </c>
      <c r="IJ18" s="3" t="s">
        <v>21</v>
      </c>
      <c r="IK18" s="3" t="s">
        <v>21</v>
      </c>
      <c r="IL18" s="3" t="s">
        <v>21</v>
      </c>
      <c r="IM18" s="3" t="s">
        <v>21</v>
      </c>
      <c r="IN18" s="3" t="s">
        <v>21</v>
      </c>
      <c r="IO18" s="74"/>
      <c r="IP18" s="74"/>
      <c r="IQ18" s="29" t="s">
        <v>47</v>
      </c>
      <c r="IR18" s="74"/>
      <c r="IS18" s="74"/>
      <c r="IT18" s="74"/>
      <c r="IU18" s="26"/>
      <c r="IV18" s="26"/>
      <c r="IW18" s="26"/>
      <c r="IX18" s="26"/>
      <c r="IY18" s="27"/>
      <c r="IZ18" s="26"/>
      <c r="JA18" s="26"/>
      <c r="JB18" s="26"/>
      <c r="JC18" s="26"/>
      <c r="JD18" s="26"/>
      <c r="JE18" s="26"/>
      <c r="JF18" s="26"/>
      <c r="JG18" s="26"/>
      <c r="JH18" s="36"/>
      <c r="JI18" s="36"/>
      <c r="JJ18" s="36"/>
      <c r="JK18" s="36"/>
      <c r="JL18" s="36"/>
      <c r="JM18" s="36"/>
      <c r="JN18" s="26"/>
      <c r="JO18" s="26"/>
      <c r="JP18" s="26"/>
      <c r="JQ18" s="26"/>
      <c r="JR18" s="26"/>
      <c r="JS18" s="26"/>
      <c r="JT18" s="15">
        <f t="shared" si="16"/>
        <v>104</v>
      </c>
      <c r="JU18" s="15">
        <f t="shared" si="14"/>
        <v>0</v>
      </c>
      <c r="JV18" s="15">
        <f t="shared" si="15"/>
        <v>0</v>
      </c>
      <c r="JW18" s="23">
        <f t="shared" si="12"/>
        <v>17.333333333333332</v>
      </c>
      <c r="JX18" s="14"/>
      <c r="JY18" s="17">
        <f t="shared" si="13"/>
        <v>6</v>
      </c>
      <c r="JZ18" s="14">
        <f t="shared" si="17"/>
        <v>5.7692307692307696E-2</v>
      </c>
      <c r="KA18" s="5" t="s">
        <v>32</v>
      </c>
    </row>
    <row r="19" spans="1:287" ht="18.75" customHeight="1" x14ac:dyDescent="0.25">
      <c r="A19" s="5" t="s">
        <v>27</v>
      </c>
      <c r="B19" s="15" t="s">
        <v>28</v>
      </c>
      <c r="C19" s="14">
        <f>JZ19</f>
        <v>6.8421052631578952E-2</v>
      </c>
      <c r="D19" s="26"/>
      <c r="E19" s="26"/>
      <c r="F19" s="26"/>
      <c r="G19" s="29" t="s">
        <v>15</v>
      </c>
      <c r="H19" s="29" t="s">
        <v>15</v>
      </c>
      <c r="I19" s="26">
        <v>1</v>
      </c>
      <c r="J19" s="26">
        <v>1</v>
      </c>
      <c r="K19" s="26">
        <v>1</v>
      </c>
      <c r="L19" s="26">
        <v>1</v>
      </c>
      <c r="M19" s="26">
        <v>1</v>
      </c>
      <c r="N19" s="26">
        <v>1</v>
      </c>
      <c r="O19" s="26">
        <v>1</v>
      </c>
      <c r="P19" s="27">
        <v>1</v>
      </c>
      <c r="Q19" s="26">
        <v>1</v>
      </c>
      <c r="R19" s="26">
        <v>1</v>
      </c>
      <c r="S19" s="26">
        <v>1</v>
      </c>
      <c r="T19" s="26">
        <v>1</v>
      </c>
      <c r="U19" s="26">
        <v>1</v>
      </c>
      <c r="V19" s="26">
        <v>1</v>
      </c>
      <c r="W19" s="26">
        <v>1</v>
      </c>
      <c r="X19" s="26">
        <v>1</v>
      </c>
      <c r="Y19" s="26">
        <v>1</v>
      </c>
      <c r="Z19" s="26">
        <v>1</v>
      </c>
      <c r="AA19" s="26">
        <v>1</v>
      </c>
      <c r="AB19" s="26">
        <v>1</v>
      </c>
      <c r="AC19" s="26">
        <v>1</v>
      </c>
      <c r="AD19" s="26">
        <v>1</v>
      </c>
      <c r="AE19" s="26">
        <v>1</v>
      </c>
      <c r="AF19" s="26">
        <v>1</v>
      </c>
      <c r="AG19" s="26">
        <v>1</v>
      </c>
      <c r="AH19" s="26">
        <v>1</v>
      </c>
      <c r="AI19" s="26">
        <v>1</v>
      </c>
      <c r="AJ19" s="26">
        <v>1</v>
      </c>
      <c r="AK19" s="26">
        <v>1</v>
      </c>
      <c r="AL19" s="26">
        <v>1</v>
      </c>
      <c r="AM19" s="26">
        <v>1</v>
      </c>
      <c r="AN19" s="26">
        <v>1</v>
      </c>
      <c r="AO19" s="26">
        <v>1</v>
      </c>
      <c r="AP19" s="26">
        <v>1</v>
      </c>
      <c r="AQ19" s="26">
        <v>1</v>
      </c>
      <c r="AR19" s="26">
        <v>1</v>
      </c>
      <c r="AS19" s="26">
        <v>1</v>
      </c>
      <c r="AT19" s="26" t="s">
        <v>48</v>
      </c>
      <c r="AU19" s="26" t="s">
        <v>48</v>
      </c>
      <c r="AV19" s="26" t="s">
        <v>48</v>
      </c>
      <c r="AW19" s="26" t="s">
        <v>48</v>
      </c>
      <c r="AX19" s="26" t="s">
        <v>48</v>
      </c>
      <c r="AY19" s="26" t="s">
        <v>48</v>
      </c>
      <c r="AZ19" s="26">
        <v>1</v>
      </c>
      <c r="BA19" s="26">
        <v>1</v>
      </c>
      <c r="BB19" s="26">
        <v>1</v>
      </c>
      <c r="BC19" s="26">
        <v>1</v>
      </c>
      <c r="BD19" s="26">
        <v>1</v>
      </c>
      <c r="BE19" s="26">
        <v>1</v>
      </c>
      <c r="BF19" s="26">
        <v>1</v>
      </c>
      <c r="BG19" s="26">
        <v>1</v>
      </c>
      <c r="BH19" s="26">
        <v>1</v>
      </c>
      <c r="BI19" s="29" t="s">
        <v>16</v>
      </c>
      <c r="BJ19" s="26">
        <v>1</v>
      </c>
      <c r="BK19" s="26">
        <v>1</v>
      </c>
      <c r="BL19" s="26">
        <v>1</v>
      </c>
      <c r="BM19" s="26">
        <v>1</v>
      </c>
      <c r="BN19" s="26">
        <v>1</v>
      </c>
      <c r="BO19" s="26">
        <v>1</v>
      </c>
      <c r="BP19" s="26">
        <v>1</v>
      </c>
      <c r="BQ19" s="26">
        <v>1</v>
      </c>
      <c r="BR19" s="26">
        <v>1</v>
      </c>
      <c r="BS19" s="29" t="s">
        <v>17</v>
      </c>
      <c r="BT19" s="26">
        <v>1</v>
      </c>
      <c r="BU19" s="26">
        <v>1</v>
      </c>
      <c r="BV19" s="26">
        <v>1</v>
      </c>
      <c r="BW19" s="26">
        <v>1</v>
      </c>
      <c r="BX19" s="26">
        <v>1</v>
      </c>
      <c r="BY19" s="26">
        <v>1</v>
      </c>
      <c r="BZ19" s="26">
        <v>1</v>
      </c>
      <c r="CA19" s="26">
        <v>1</v>
      </c>
      <c r="CB19" s="26">
        <v>1</v>
      </c>
      <c r="CC19" s="26">
        <v>1</v>
      </c>
      <c r="CD19" s="36">
        <v>1</v>
      </c>
      <c r="CE19" s="36">
        <v>1</v>
      </c>
      <c r="CF19" s="36">
        <v>1</v>
      </c>
      <c r="CG19" s="36">
        <v>1</v>
      </c>
      <c r="CH19" s="36">
        <v>1</v>
      </c>
      <c r="CI19" s="36">
        <v>1</v>
      </c>
      <c r="CJ19" s="34" t="s">
        <v>18</v>
      </c>
      <c r="CK19" s="34" t="s">
        <v>18</v>
      </c>
      <c r="CL19" s="34" t="s">
        <v>18</v>
      </c>
      <c r="CM19" s="34" t="s">
        <v>18</v>
      </c>
      <c r="CN19" s="34" t="s">
        <v>18</v>
      </c>
      <c r="CO19" s="34" t="s">
        <v>18</v>
      </c>
      <c r="CP19" s="26">
        <v>1</v>
      </c>
      <c r="CQ19" s="26">
        <v>1</v>
      </c>
      <c r="CR19" s="26">
        <v>1</v>
      </c>
      <c r="CS19" s="26">
        <v>1</v>
      </c>
      <c r="CT19" s="26">
        <v>1</v>
      </c>
      <c r="CU19" s="26">
        <v>1</v>
      </c>
      <c r="CV19" s="26">
        <v>1</v>
      </c>
      <c r="CW19" s="26">
        <v>1</v>
      </c>
      <c r="CX19" s="26">
        <v>1</v>
      </c>
      <c r="CY19" s="26">
        <v>1</v>
      </c>
      <c r="CZ19" s="26">
        <v>1</v>
      </c>
      <c r="DA19" s="26">
        <v>1</v>
      </c>
      <c r="DB19" s="26">
        <v>1</v>
      </c>
      <c r="DC19" s="26">
        <v>1</v>
      </c>
      <c r="DD19" s="27">
        <v>1</v>
      </c>
      <c r="DE19" s="29" t="s">
        <v>30</v>
      </c>
      <c r="DF19" s="26">
        <v>1</v>
      </c>
      <c r="DG19" s="26">
        <v>1</v>
      </c>
      <c r="DH19" s="26">
        <v>1</v>
      </c>
      <c r="DI19" s="26">
        <v>1</v>
      </c>
      <c r="DJ19" s="26">
        <v>1</v>
      </c>
      <c r="DK19" s="26">
        <v>1</v>
      </c>
      <c r="DL19" s="26">
        <v>1</v>
      </c>
      <c r="DM19" s="27">
        <v>1</v>
      </c>
      <c r="DN19" s="26">
        <v>1</v>
      </c>
      <c r="DO19" s="26">
        <v>1</v>
      </c>
      <c r="DP19" s="29" t="s">
        <v>45</v>
      </c>
      <c r="DQ19" s="26">
        <v>1</v>
      </c>
      <c r="DR19" s="26">
        <v>1</v>
      </c>
      <c r="DS19" s="26">
        <v>1</v>
      </c>
      <c r="DT19" s="26">
        <v>1</v>
      </c>
      <c r="DU19" s="26">
        <v>1</v>
      </c>
      <c r="DV19" s="26">
        <v>1</v>
      </c>
      <c r="DW19" s="26">
        <v>1</v>
      </c>
      <c r="DX19" s="26">
        <v>1</v>
      </c>
      <c r="DY19" s="26">
        <v>1</v>
      </c>
      <c r="DZ19" s="31" t="s">
        <v>19</v>
      </c>
      <c r="EA19" s="31" t="s">
        <v>19</v>
      </c>
      <c r="EB19" s="31" t="s">
        <v>19</v>
      </c>
      <c r="EC19" s="31" t="s">
        <v>19</v>
      </c>
      <c r="ED19" s="31" t="s">
        <v>19</v>
      </c>
      <c r="EE19" s="31" t="s">
        <v>19</v>
      </c>
      <c r="EF19" s="26">
        <v>1</v>
      </c>
      <c r="EG19" s="26">
        <v>1</v>
      </c>
      <c r="EH19" s="26">
        <v>1</v>
      </c>
      <c r="EI19" s="26">
        <v>1</v>
      </c>
      <c r="EJ19" s="26">
        <v>1</v>
      </c>
      <c r="EK19" s="26">
        <v>1</v>
      </c>
      <c r="EL19" s="26">
        <v>1</v>
      </c>
      <c r="EM19" s="26">
        <v>1</v>
      </c>
      <c r="EN19" s="26">
        <v>1</v>
      </c>
      <c r="EO19" s="26">
        <v>1</v>
      </c>
      <c r="EP19" s="26">
        <v>1</v>
      </c>
      <c r="EQ19" s="26">
        <v>1</v>
      </c>
      <c r="ER19" s="26">
        <v>1</v>
      </c>
      <c r="ES19" s="26">
        <v>1</v>
      </c>
      <c r="ET19" s="26">
        <v>1</v>
      </c>
      <c r="EU19" s="26">
        <v>1</v>
      </c>
      <c r="EV19" s="26">
        <v>1</v>
      </c>
      <c r="EW19" s="26">
        <v>1</v>
      </c>
      <c r="EX19" s="26">
        <v>1</v>
      </c>
      <c r="EY19" s="26">
        <v>1</v>
      </c>
      <c r="EZ19" s="26">
        <v>1</v>
      </c>
      <c r="FA19" s="26">
        <v>1</v>
      </c>
      <c r="FB19" s="26">
        <v>1</v>
      </c>
      <c r="FC19" s="26">
        <v>1</v>
      </c>
      <c r="FD19" s="26">
        <v>1</v>
      </c>
      <c r="FE19" s="26">
        <v>1</v>
      </c>
      <c r="FF19" s="26">
        <v>1</v>
      </c>
      <c r="FG19" s="26">
        <v>1</v>
      </c>
      <c r="FH19" s="26">
        <v>1</v>
      </c>
      <c r="FI19" s="26">
        <v>1</v>
      </c>
      <c r="FJ19" s="26">
        <v>1</v>
      </c>
      <c r="FK19" s="26">
        <v>1</v>
      </c>
      <c r="FL19" s="26">
        <v>1</v>
      </c>
      <c r="FM19" s="26">
        <v>1</v>
      </c>
      <c r="FN19" s="26">
        <v>1</v>
      </c>
      <c r="FO19" s="26">
        <v>1</v>
      </c>
      <c r="FP19" s="34" t="s">
        <v>20</v>
      </c>
      <c r="FQ19" s="34" t="s">
        <v>20</v>
      </c>
      <c r="FR19" s="34" t="s">
        <v>20</v>
      </c>
      <c r="FS19" s="34" t="s">
        <v>20</v>
      </c>
      <c r="FT19" s="34" t="s">
        <v>20</v>
      </c>
      <c r="FU19" s="34" t="s">
        <v>20</v>
      </c>
      <c r="FV19" s="73">
        <v>1</v>
      </c>
      <c r="FW19" s="73">
        <v>1</v>
      </c>
      <c r="FX19" s="73">
        <v>1</v>
      </c>
      <c r="FY19" s="26">
        <v>1</v>
      </c>
      <c r="FZ19" s="26">
        <v>1</v>
      </c>
      <c r="GA19" s="26">
        <v>1</v>
      </c>
      <c r="GB19" s="36">
        <v>1</v>
      </c>
      <c r="GC19" s="36">
        <v>1</v>
      </c>
      <c r="GD19" s="36">
        <v>1</v>
      </c>
      <c r="GE19" s="36">
        <v>1</v>
      </c>
      <c r="GF19" s="36">
        <v>1</v>
      </c>
      <c r="GG19" s="36">
        <v>1</v>
      </c>
      <c r="GH19" s="26">
        <v>1</v>
      </c>
      <c r="GI19" s="26">
        <v>1</v>
      </c>
      <c r="GJ19" s="26">
        <v>1</v>
      </c>
      <c r="GK19" s="26">
        <v>1</v>
      </c>
      <c r="GL19" s="26">
        <v>1</v>
      </c>
      <c r="GM19" s="26">
        <v>1</v>
      </c>
      <c r="GN19" s="26">
        <v>1</v>
      </c>
      <c r="GO19" s="26">
        <v>1</v>
      </c>
      <c r="GP19" s="26">
        <v>1</v>
      </c>
      <c r="GQ19" s="26">
        <v>1</v>
      </c>
      <c r="GR19" s="26">
        <v>1</v>
      </c>
      <c r="GS19" s="26">
        <v>1</v>
      </c>
      <c r="GT19" s="26">
        <v>1</v>
      </c>
      <c r="GU19" s="26">
        <v>1</v>
      </c>
      <c r="GV19" s="26">
        <v>1</v>
      </c>
      <c r="GW19" s="26">
        <v>1</v>
      </c>
      <c r="GX19" s="26">
        <v>1</v>
      </c>
      <c r="GY19" s="26">
        <v>1</v>
      </c>
      <c r="GZ19" s="26">
        <v>1</v>
      </c>
      <c r="HA19" s="26">
        <v>1</v>
      </c>
      <c r="HB19" s="26">
        <v>1</v>
      </c>
      <c r="HC19" s="27">
        <v>1</v>
      </c>
      <c r="HD19" s="29" t="s">
        <v>46</v>
      </c>
      <c r="HE19" s="26">
        <v>1</v>
      </c>
      <c r="HF19" s="34" t="s">
        <v>49</v>
      </c>
      <c r="HG19" s="34" t="s">
        <v>49</v>
      </c>
      <c r="HH19" s="34" t="s">
        <v>49</v>
      </c>
      <c r="HI19" s="34" t="s">
        <v>49</v>
      </c>
      <c r="HJ19" s="34" t="s">
        <v>49</v>
      </c>
      <c r="HK19" s="34" t="s">
        <v>49</v>
      </c>
      <c r="HL19" s="26">
        <v>1</v>
      </c>
      <c r="HM19" s="26">
        <v>1</v>
      </c>
      <c r="HN19" s="26">
        <v>1</v>
      </c>
      <c r="HO19" s="26">
        <v>1</v>
      </c>
      <c r="HP19" s="26">
        <v>1</v>
      </c>
      <c r="HQ19" s="26">
        <v>1</v>
      </c>
      <c r="HR19" s="26">
        <v>1</v>
      </c>
      <c r="HS19" s="26">
        <v>1</v>
      </c>
      <c r="HT19" s="26">
        <v>1</v>
      </c>
      <c r="HU19" s="26">
        <v>1</v>
      </c>
      <c r="HV19" s="26">
        <v>1</v>
      </c>
      <c r="HW19" s="26">
        <v>1</v>
      </c>
      <c r="HX19" s="26">
        <v>1</v>
      </c>
      <c r="HY19" s="26">
        <v>1</v>
      </c>
      <c r="HZ19" s="29" t="s">
        <v>22</v>
      </c>
      <c r="IA19" s="29" t="s">
        <v>22</v>
      </c>
      <c r="IB19" s="29" t="s">
        <v>22</v>
      </c>
      <c r="IC19" s="26" t="s">
        <v>24</v>
      </c>
      <c r="ID19" s="26" t="s">
        <v>24</v>
      </c>
      <c r="IE19" s="26" t="s">
        <v>24</v>
      </c>
      <c r="IF19" s="3" t="s">
        <v>21</v>
      </c>
      <c r="IG19" s="3" t="s">
        <v>21</v>
      </c>
      <c r="IH19" s="3" t="s">
        <v>21</v>
      </c>
      <c r="II19" s="3" t="s">
        <v>21</v>
      </c>
      <c r="IJ19" s="3" t="s">
        <v>21</v>
      </c>
      <c r="IK19" s="3" t="s">
        <v>21</v>
      </c>
      <c r="IL19" s="3" t="s">
        <v>21</v>
      </c>
      <c r="IM19" s="3" t="s">
        <v>21</v>
      </c>
      <c r="IN19" s="3" t="s">
        <v>21</v>
      </c>
      <c r="IO19" s="74"/>
      <c r="IP19" s="74"/>
      <c r="IQ19" s="29" t="s">
        <v>47</v>
      </c>
      <c r="IR19" s="74"/>
      <c r="IS19" s="74"/>
      <c r="IT19" s="74"/>
      <c r="IU19" s="26"/>
      <c r="IV19" s="26"/>
      <c r="IW19" s="26"/>
      <c r="IX19" s="26"/>
      <c r="IY19" s="27"/>
      <c r="IZ19" s="26"/>
      <c r="JA19" s="26"/>
      <c r="JB19" s="26"/>
      <c r="JC19" s="26"/>
      <c r="JD19" s="26"/>
      <c r="JE19" s="26"/>
      <c r="JF19" s="26"/>
      <c r="JG19" s="26"/>
      <c r="JH19" s="36"/>
      <c r="JI19" s="36"/>
      <c r="JJ19" s="36"/>
      <c r="JK19" s="36"/>
      <c r="JL19" s="36"/>
      <c r="JM19" s="36"/>
      <c r="JN19" s="26"/>
      <c r="JO19" s="26"/>
      <c r="JP19" s="26"/>
      <c r="JQ19" s="26"/>
      <c r="JR19" s="26"/>
      <c r="JS19" s="26"/>
      <c r="JT19" s="15">
        <f>+SUMIF(E19:JL19,1)</f>
        <v>190</v>
      </c>
      <c r="JU19" s="15">
        <f>+COUNTIF(E19:IO19,"ST")</f>
        <v>3</v>
      </c>
      <c r="JV19" s="15">
        <f>COUNTIF(E19:IO19,"VAC")</f>
        <v>0</v>
      </c>
      <c r="JW19" s="23">
        <f t="shared" si="12"/>
        <v>31.666666666666668</v>
      </c>
      <c r="JX19" s="14"/>
      <c r="JY19" s="17">
        <f t="shared" si="13"/>
        <v>13</v>
      </c>
      <c r="JZ19" s="14">
        <f>JY19/JT19</f>
        <v>6.8421052631578952E-2</v>
      </c>
      <c r="KA19" s="5" t="s">
        <v>27</v>
      </c>
    </row>
    <row r="20" spans="1:287" ht="18.75" customHeight="1" x14ac:dyDescent="0.25">
      <c r="A20" s="5" t="s">
        <v>33</v>
      </c>
      <c r="B20" s="15" t="s">
        <v>28</v>
      </c>
      <c r="C20" s="14">
        <f>JZ20</f>
        <v>6.7357512953367879E-2</v>
      </c>
      <c r="D20" s="26"/>
      <c r="E20" s="26"/>
      <c r="F20" s="26"/>
      <c r="G20" s="29" t="s">
        <v>15</v>
      </c>
      <c r="H20" s="29" t="s">
        <v>15</v>
      </c>
      <c r="I20" s="26">
        <v>1</v>
      </c>
      <c r="J20" s="26">
        <v>1</v>
      </c>
      <c r="K20" s="26">
        <v>1</v>
      </c>
      <c r="L20" s="26">
        <v>1</v>
      </c>
      <c r="M20" s="26">
        <v>1</v>
      </c>
      <c r="N20" s="26">
        <v>1</v>
      </c>
      <c r="O20" s="26">
        <v>1</v>
      </c>
      <c r="P20" s="27">
        <v>1</v>
      </c>
      <c r="Q20" s="26">
        <v>1</v>
      </c>
      <c r="R20" s="26">
        <v>1</v>
      </c>
      <c r="S20" s="26">
        <v>1</v>
      </c>
      <c r="T20" s="26">
        <v>1</v>
      </c>
      <c r="U20" s="26">
        <v>1</v>
      </c>
      <c r="V20" s="26">
        <v>1</v>
      </c>
      <c r="W20" s="26">
        <v>1</v>
      </c>
      <c r="X20" s="26">
        <v>1</v>
      </c>
      <c r="Y20" s="26">
        <v>1</v>
      </c>
      <c r="Z20" s="26">
        <v>1</v>
      </c>
      <c r="AA20" s="26">
        <v>1</v>
      </c>
      <c r="AB20" s="26">
        <v>1</v>
      </c>
      <c r="AC20" s="26">
        <v>1</v>
      </c>
      <c r="AD20" s="26">
        <v>1</v>
      </c>
      <c r="AE20" s="26">
        <v>1</v>
      </c>
      <c r="AF20" s="26">
        <v>1</v>
      </c>
      <c r="AG20" s="26">
        <v>1</v>
      </c>
      <c r="AH20" s="26">
        <v>1</v>
      </c>
      <c r="AI20" s="26">
        <v>1</v>
      </c>
      <c r="AJ20" s="26">
        <v>1</v>
      </c>
      <c r="AK20" s="26">
        <v>1</v>
      </c>
      <c r="AL20" s="26">
        <v>1</v>
      </c>
      <c r="AM20" s="26">
        <v>1</v>
      </c>
      <c r="AN20" s="26">
        <v>1</v>
      </c>
      <c r="AO20" s="26">
        <v>1</v>
      </c>
      <c r="AP20" s="26">
        <v>1</v>
      </c>
      <c r="AQ20" s="26">
        <v>1</v>
      </c>
      <c r="AR20" s="26">
        <v>1</v>
      </c>
      <c r="AS20" s="26">
        <v>1</v>
      </c>
      <c r="AT20" s="26" t="s">
        <v>48</v>
      </c>
      <c r="AU20" s="26" t="s">
        <v>48</v>
      </c>
      <c r="AV20" s="26" t="s">
        <v>48</v>
      </c>
      <c r="AW20" s="26" t="s">
        <v>48</v>
      </c>
      <c r="AX20" s="26" t="s">
        <v>48</v>
      </c>
      <c r="AY20" s="26" t="s">
        <v>48</v>
      </c>
      <c r="AZ20" s="26">
        <v>1</v>
      </c>
      <c r="BA20" s="26">
        <v>1</v>
      </c>
      <c r="BB20" s="26">
        <v>1</v>
      </c>
      <c r="BC20" s="26">
        <v>1</v>
      </c>
      <c r="BD20" s="26">
        <v>1</v>
      </c>
      <c r="BE20" s="26">
        <v>1</v>
      </c>
      <c r="BF20" s="26">
        <v>1</v>
      </c>
      <c r="BG20" s="26">
        <v>1</v>
      </c>
      <c r="BH20" s="26">
        <v>1</v>
      </c>
      <c r="BI20" s="29" t="s">
        <v>16</v>
      </c>
      <c r="BJ20" s="26">
        <v>1</v>
      </c>
      <c r="BK20" s="26">
        <v>1</v>
      </c>
      <c r="BL20" s="26">
        <v>1</v>
      </c>
      <c r="BM20" s="26">
        <v>1</v>
      </c>
      <c r="BN20" s="26">
        <v>1</v>
      </c>
      <c r="BO20" s="26">
        <v>1</v>
      </c>
      <c r="BP20" s="26">
        <v>1</v>
      </c>
      <c r="BQ20" s="26">
        <v>1</v>
      </c>
      <c r="BR20" s="26">
        <v>1</v>
      </c>
      <c r="BS20" s="29" t="s">
        <v>17</v>
      </c>
      <c r="BT20" s="26">
        <v>1</v>
      </c>
      <c r="BU20" s="26">
        <v>1</v>
      </c>
      <c r="BV20" s="26">
        <v>1</v>
      </c>
      <c r="BW20" s="26">
        <v>1</v>
      </c>
      <c r="BX20" s="26">
        <v>1</v>
      </c>
      <c r="BY20" s="26">
        <v>1</v>
      </c>
      <c r="BZ20" s="26">
        <v>1</v>
      </c>
      <c r="CA20" s="26">
        <v>1</v>
      </c>
      <c r="CB20" s="26">
        <v>1</v>
      </c>
      <c r="CC20" s="26">
        <v>1</v>
      </c>
      <c r="CD20" s="36">
        <v>1</v>
      </c>
      <c r="CE20" s="36">
        <v>1</v>
      </c>
      <c r="CF20" s="36">
        <v>1</v>
      </c>
      <c r="CG20" s="36">
        <v>1</v>
      </c>
      <c r="CH20" s="36">
        <v>1</v>
      </c>
      <c r="CI20" s="36">
        <v>1</v>
      </c>
      <c r="CJ20" s="34" t="s">
        <v>18</v>
      </c>
      <c r="CK20" s="34" t="s">
        <v>18</v>
      </c>
      <c r="CL20" s="34" t="s">
        <v>18</v>
      </c>
      <c r="CM20" s="34" t="s">
        <v>18</v>
      </c>
      <c r="CN20" s="34" t="s">
        <v>18</v>
      </c>
      <c r="CO20" s="34" t="s">
        <v>18</v>
      </c>
      <c r="CP20" s="26">
        <v>1</v>
      </c>
      <c r="CQ20" s="26">
        <v>1</v>
      </c>
      <c r="CR20" s="26">
        <v>1</v>
      </c>
      <c r="CS20" s="26">
        <v>1</v>
      </c>
      <c r="CT20" s="26">
        <v>1</v>
      </c>
      <c r="CU20" s="26">
        <v>1</v>
      </c>
      <c r="CV20" s="26">
        <v>1</v>
      </c>
      <c r="CW20" s="26">
        <v>1</v>
      </c>
      <c r="CX20" s="26">
        <v>1</v>
      </c>
      <c r="CY20" s="26">
        <v>1</v>
      </c>
      <c r="CZ20" s="26">
        <v>1</v>
      </c>
      <c r="DA20" s="26">
        <v>1</v>
      </c>
      <c r="DB20" s="26">
        <v>1</v>
      </c>
      <c r="DC20" s="26">
        <v>1</v>
      </c>
      <c r="DD20" s="27">
        <v>1</v>
      </c>
      <c r="DE20" s="29" t="s">
        <v>30</v>
      </c>
      <c r="DF20" s="26">
        <v>1</v>
      </c>
      <c r="DG20" s="26">
        <v>1</v>
      </c>
      <c r="DH20" s="26">
        <v>1</v>
      </c>
      <c r="DI20" s="26">
        <v>1</v>
      </c>
      <c r="DJ20" s="26">
        <v>1</v>
      </c>
      <c r="DK20" s="26">
        <v>1</v>
      </c>
      <c r="DL20" s="26">
        <v>1</v>
      </c>
      <c r="DM20" s="27">
        <v>1</v>
      </c>
      <c r="DN20" s="26">
        <v>1</v>
      </c>
      <c r="DO20" s="26">
        <v>1</v>
      </c>
      <c r="DP20" s="29" t="s">
        <v>45</v>
      </c>
      <c r="DQ20" s="26">
        <v>1</v>
      </c>
      <c r="DR20" s="26">
        <v>1</v>
      </c>
      <c r="DS20" s="26">
        <v>1</v>
      </c>
      <c r="DT20" s="26">
        <v>1</v>
      </c>
      <c r="DU20" s="26">
        <v>1</v>
      </c>
      <c r="DV20" s="26">
        <v>1</v>
      </c>
      <c r="DW20" s="26">
        <v>1</v>
      </c>
      <c r="DX20" s="26">
        <v>1</v>
      </c>
      <c r="DY20" s="26">
        <v>1</v>
      </c>
      <c r="DZ20" s="31" t="s">
        <v>19</v>
      </c>
      <c r="EA20" s="31" t="s">
        <v>19</v>
      </c>
      <c r="EB20" s="31" t="s">
        <v>19</v>
      </c>
      <c r="EC20" s="31" t="s">
        <v>19</v>
      </c>
      <c r="ED20" s="31" t="s">
        <v>19</v>
      </c>
      <c r="EE20" s="31" t="s">
        <v>19</v>
      </c>
      <c r="EF20" s="26">
        <v>1</v>
      </c>
      <c r="EG20" s="26">
        <v>1</v>
      </c>
      <c r="EH20" s="26">
        <v>1</v>
      </c>
      <c r="EI20" s="26">
        <v>1</v>
      </c>
      <c r="EJ20" s="26">
        <v>1</v>
      </c>
      <c r="EK20" s="26">
        <v>1</v>
      </c>
      <c r="EL20" s="26">
        <v>1</v>
      </c>
      <c r="EM20" s="26">
        <v>1</v>
      </c>
      <c r="EN20" s="26">
        <v>1</v>
      </c>
      <c r="EO20" s="26">
        <v>1</v>
      </c>
      <c r="EP20" s="26">
        <v>1</v>
      </c>
      <c r="EQ20" s="26">
        <v>1</v>
      </c>
      <c r="ER20" s="26">
        <v>1</v>
      </c>
      <c r="ES20" s="26">
        <v>1</v>
      </c>
      <c r="ET20" s="26">
        <v>1</v>
      </c>
      <c r="EU20" s="26">
        <v>1</v>
      </c>
      <c r="EV20" s="26">
        <v>1</v>
      </c>
      <c r="EW20" s="26">
        <v>1</v>
      </c>
      <c r="EX20" s="26">
        <v>1</v>
      </c>
      <c r="EY20" s="26">
        <v>1</v>
      </c>
      <c r="EZ20" s="26">
        <v>1</v>
      </c>
      <c r="FA20" s="26">
        <v>1</v>
      </c>
      <c r="FB20" s="26">
        <v>1</v>
      </c>
      <c r="FC20" s="26">
        <v>1</v>
      </c>
      <c r="FD20" s="26">
        <v>1</v>
      </c>
      <c r="FE20" s="26">
        <v>1</v>
      </c>
      <c r="FF20" s="26">
        <v>1</v>
      </c>
      <c r="FG20" s="26">
        <v>1</v>
      </c>
      <c r="FH20" s="26">
        <v>1</v>
      </c>
      <c r="FI20" s="26">
        <v>1</v>
      </c>
      <c r="FJ20" s="26">
        <v>1</v>
      </c>
      <c r="FK20" s="26">
        <v>1</v>
      </c>
      <c r="FL20" s="26">
        <v>1</v>
      </c>
      <c r="FM20" s="26">
        <v>1</v>
      </c>
      <c r="FN20" s="26">
        <v>1</v>
      </c>
      <c r="FO20" s="26">
        <v>1</v>
      </c>
      <c r="FP20" s="34" t="s">
        <v>20</v>
      </c>
      <c r="FQ20" s="34" t="s">
        <v>20</v>
      </c>
      <c r="FR20" s="34" t="s">
        <v>20</v>
      </c>
      <c r="FS20" s="34" t="s">
        <v>20</v>
      </c>
      <c r="FT20" s="34" t="s">
        <v>20</v>
      </c>
      <c r="FU20" s="34" t="s">
        <v>20</v>
      </c>
      <c r="FV20" s="73">
        <v>1</v>
      </c>
      <c r="FW20" s="73">
        <v>1</v>
      </c>
      <c r="FX20" s="73">
        <v>1</v>
      </c>
      <c r="FY20" s="26">
        <v>1</v>
      </c>
      <c r="FZ20" s="26">
        <v>1</v>
      </c>
      <c r="GA20" s="26">
        <v>1</v>
      </c>
      <c r="GB20" s="36">
        <v>1</v>
      </c>
      <c r="GC20" s="36">
        <v>1</v>
      </c>
      <c r="GD20" s="36">
        <v>1</v>
      </c>
      <c r="GE20" s="36">
        <v>1</v>
      </c>
      <c r="GF20" s="36">
        <v>1</v>
      </c>
      <c r="GG20" s="36">
        <v>1</v>
      </c>
      <c r="GH20" s="26">
        <v>1</v>
      </c>
      <c r="GI20" s="26">
        <v>1</v>
      </c>
      <c r="GJ20" s="26">
        <v>1</v>
      </c>
      <c r="GK20" s="26">
        <v>1</v>
      </c>
      <c r="GL20" s="26">
        <v>1</v>
      </c>
      <c r="GM20" s="26">
        <v>1</v>
      </c>
      <c r="GN20" s="26">
        <v>1</v>
      </c>
      <c r="GO20" s="26">
        <v>1</v>
      </c>
      <c r="GP20" s="26">
        <v>1</v>
      </c>
      <c r="GQ20" s="26">
        <v>1</v>
      </c>
      <c r="GR20" s="26">
        <v>1</v>
      </c>
      <c r="GS20" s="26">
        <v>1</v>
      </c>
      <c r="GT20" s="26">
        <v>1</v>
      </c>
      <c r="GU20" s="26">
        <v>1</v>
      </c>
      <c r="GV20" s="26">
        <v>1</v>
      </c>
      <c r="GW20" s="26">
        <v>1</v>
      </c>
      <c r="GX20" s="26">
        <v>1</v>
      </c>
      <c r="GY20" s="26">
        <v>1</v>
      </c>
      <c r="GZ20" s="26">
        <v>1</v>
      </c>
      <c r="HA20" s="26">
        <v>1</v>
      </c>
      <c r="HB20" s="26">
        <v>1</v>
      </c>
      <c r="HC20" s="27">
        <v>1</v>
      </c>
      <c r="HD20" s="29" t="s">
        <v>46</v>
      </c>
      <c r="HE20" s="26">
        <v>1</v>
      </c>
      <c r="HF20" s="34" t="s">
        <v>49</v>
      </c>
      <c r="HG20" s="34" t="s">
        <v>49</v>
      </c>
      <c r="HH20" s="34" t="s">
        <v>49</v>
      </c>
      <c r="HI20" s="34" t="s">
        <v>49</v>
      </c>
      <c r="HJ20" s="34" t="s">
        <v>49</v>
      </c>
      <c r="HK20" s="34" t="s">
        <v>49</v>
      </c>
      <c r="HL20" s="26">
        <v>1</v>
      </c>
      <c r="HM20" s="26">
        <v>1</v>
      </c>
      <c r="HN20" s="26">
        <v>1</v>
      </c>
      <c r="HO20" s="26">
        <v>1</v>
      </c>
      <c r="HP20" s="26">
        <v>1</v>
      </c>
      <c r="HQ20" s="26">
        <v>1</v>
      </c>
      <c r="HR20" s="26">
        <v>1</v>
      </c>
      <c r="HS20" s="26">
        <v>1</v>
      </c>
      <c r="HT20" s="26">
        <v>1</v>
      </c>
      <c r="HU20" s="26">
        <v>1</v>
      </c>
      <c r="HV20" s="26">
        <v>1</v>
      </c>
      <c r="HW20" s="26">
        <v>1</v>
      </c>
      <c r="HX20" s="26">
        <v>1</v>
      </c>
      <c r="HY20" s="26">
        <v>1</v>
      </c>
      <c r="HZ20" s="29" t="s">
        <v>22</v>
      </c>
      <c r="IA20" s="29" t="s">
        <v>22</v>
      </c>
      <c r="IB20" s="29" t="s">
        <v>22</v>
      </c>
      <c r="IC20" s="26">
        <v>1</v>
      </c>
      <c r="ID20" s="26">
        <v>1</v>
      </c>
      <c r="IE20" s="26">
        <v>1</v>
      </c>
      <c r="IF20" s="3" t="s">
        <v>21</v>
      </c>
      <c r="IG20" s="3" t="s">
        <v>21</v>
      </c>
      <c r="IH20" s="3" t="s">
        <v>21</v>
      </c>
      <c r="II20" s="3" t="s">
        <v>21</v>
      </c>
      <c r="IJ20" s="3" t="s">
        <v>21</v>
      </c>
      <c r="IK20" s="3" t="s">
        <v>21</v>
      </c>
      <c r="IL20" s="3" t="s">
        <v>21</v>
      </c>
      <c r="IM20" s="3" t="s">
        <v>21</v>
      </c>
      <c r="IN20" s="3" t="s">
        <v>21</v>
      </c>
      <c r="IO20" s="74"/>
      <c r="IP20" s="74"/>
      <c r="IQ20" s="29" t="s">
        <v>47</v>
      </c>
      <c r="IR20" s="74"/>
      <c r="IS20" s="74"/>
      <c r="IT20" s="74"/>
      <c r="IU20" s="26"/>
      <c r="IV20" s="26"/>
      <c r="IW20" s="26"/>
      <c r="IX20" s="26"/>
      <c r="IY20" s="27"/>
      <c r="IZ20" s="26"/>
      <c r="JA20" s="26"/>
      <c r="JB20" s="26"/>
      <c r="JC20" s="26"/>
      <c r="JD20" s="26"/>
      <c r="JE20" s="26"/>
      <c r="JF20" s="26"/>
      <c r="JG20" s="26"/>
      <c r="JH20" s="36"/>
      <c r="JI20" s="36"/>
      <c r="JJ20" s="36"/>
      <c r="JK20" s="36"/>
      <c r="JL20" s="36"/>
      <c r="JM20" s="36"/>
      <c r="JN20" s="26"/>
      <c r="JO20" s="26"/>
      <c r="JP20" s="26"/>
      <c r="JQ20" s="26"/>
      <c r="JR20" s="26"/>
      <c r="JS20" s="26"/>
      <c r="JT20" s="15">
        <f>+SUMIF(E20:JL20,1)</f>
        <v>193</v>
      </c>
      <c r="JU20" s="15">
        <f>+COUNTIF(E20:IO20,"ST")</f>
        <v>0</v>
      </c>
      <c r="JV20" s="15">
        <f>COUNTIF(E20:IO20,"VAC")</f>
        <v>0</v>
      </c>
      <c r="JW20" s="23">
        <f t="shared" si="12"/>
        <v>32.166666666666664</v>
      </c>
      <c r="JX20" s="14"/>
      <c r="JY20" s="17">
        <f t="shared" si="13"/>
        <v>13</v>
      </c>
      <c r="JZ20" s="14">
        <f>JY20/JT20</f>
        <v>6.7357512953367879E-2</v>
      </c>
      <c r="KA20" s="5" t="s">
        <v>33</v>
      </c>
    </row>
  </sheetData>
  <mergeCells count="57">
    <mergeCell ref="P3:U3"/>
    <mergeCell ref="V3:AA3"/>
    <mergeCell ref="KA3:KA5"/>
    <mergeCell ref="D3:I3"/>
    <mergeCell ref="A3:A5"/>
    <mergeCell ref="B3:B5"/>
    <mergeCell ref="C3:C5"/>
    <mergeCell ref="J3:O3"/>
    <mergeCell ref="CP3:CU3"/>
    <mergeCell ref="AB3:AG3"/>
    <mergeCell ref="AH3:AM3"/>
    <mergeCell ref="AN3:AS3"/>
    <mergeCell ref="AT3:AY3"/>
    <mergeCell ref="AZ3:BE3"/>
    <mergeCell ref="BF3:BK3"/>
    <mergeCell ref="BL3:BQ3"/>
    <mergeCell ref="BR3:BW3"/>
    <mergeCell ref="BX3:CC3"/>
    <mergeCell ref="CD3:CI3"/>
    <mergeCell ref="CJ3:CO3"/>
    <mergeCell ref="FJ3:FO3"/>
    <mergeCell ref="CV3:DA3"/>
    <mergeCell ref="DB3:DG3"/>
    <mergeCell ref="DH3:DM3"/>
    <mergeCell ref="DN3:DS3"/>
    <mergeCell ref="DT3:DY3"/>
    <mergeCell ref="DZ3:EE3"/>
    <mergeCell ref="EF3:EK3"/>
    <mergeCell ref="EL3:EQ3"/>
    <mergeCell ref="ER3:EW3"/>
    <mergeCell ref="EX3:FC3"/>
    <mergeCell ref="FD3:FI3"/>
    <mergeCell ref="ID3:II3"/>
    <mergeCell ref="FP3:FU3"/>
    <mergeCell ref="FV3:GA3"/>
    <mergeCell ref="GB3:GG3"/>
    <mergeCell ref="GH3:GM3"/>
    <mergeCell ref="GN3:GS3"/>
    <mergeCell ref="GT3:GY3"/>
    <mergeCell ref="GZ3:HE3"/>
    <mergeCell ref="HF3:HK3"/>
    <mergeCell ref="HL3:HQ3"/>
    <mergeCell ref="HR3:HW3"/>
    <mergeCell ref="HX3:IC3"/>
    <mergeCell ref="JZ3:JZ5"/>
    <mergeCell ref="IJ3:IO3"/>
    <mergeCell ref="IP3:IU3"/>
    <mergeCell ref="IV3:JA3"/>
    <mergeCell ref="JB3:JG3"/>
    <mergeCell ref="JT3:JT5"/>
    <mergeCell ref="JU3:JU5"/>
    <mergeCell ref="JV3:JV5"/>
    <mergeCell ref="JW3:JW5"/>
    <mergeCell ref="JX3:JX5"/>
    <mergeCell ref="JY3:JY5"/>
    <mergeCell ref="JH3:JM3"/>
    <mergeCell ref="JN3:J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SAFAE BOUTAYEB</dc:creator>
  <cp:keywords/>
  <dc:description/>
  <cp:lastModifiedBy>FAOUZI DRAIF</cp:lastModifiedBy>
  <cp:revision/>
  <dcterms:created xsi:type="dcterms:W3CDTF">2023-04-24T15:37:00Z</dcterms:created>
  <dcterms:modified xsi:type="dcterms:W3CDTF">2025-09-22T14:17:06Z</dcterms:modified>
  <cp:category/>
  <cp:contentStatus/>
</cp:coreProperties>
</file>